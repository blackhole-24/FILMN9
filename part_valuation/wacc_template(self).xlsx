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filmn9\"/>
    </mc:Choice>
  </mc:AlternateContent>
  <xr:revisionPtr revIDLastSave="0" documentId="13_ncr:1_{3FC643F5-F84D-4573-BE13-EC4907973267}" xr6:coauthVersionLast="47" xr6:coauthVersionMax="47" xr10:uidLastSave="{00000000-0000-0000-0000-000000000000}"/>
  <bookViews>
    <workbookView xWindow="8505" yWindow="1380" windowWidth="17025" windowHeight="13800" xr2:uid="{DCF8AE31-8697-497C-BEFE-3D3F50A94A25}"/>
  </bookViews>
  <sheets>
    <sheet name="dcf" sheetId="1" r:id="rId1"/>
    <sheet name="multi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 a="1"/>
  <c r="E29" i="1" s="1"/>
  <c r="E33" i="1" s="1"/>
  <c r="E35" i="1" s="1"/>
  <c r="F29" i="1" a="1"/>
  <c r="F29" i="1" s="1"/>
  <c r="F33" i="1" s="1"/>
  <c r="F35" i="1" s="1"/>
  <c r="G29" i="1" a="1"/>
  <c r="G29" i="1" s="1"/>
  <c r="G33" i="1" s="1"/>
  <c r="G35" i="1" s="1"/>
  <c r="H29" i="1" a="1"/>
  <c r="H29" i="1" s="1"/>
  <c r="H33" i="1" s="1"/>
  <c r="H35" i="1" s="1"/>
  <c r="I29" i="1" a="1"/>
  <c r="I29" i="1" s="1"/>
  <c r="I33" i="1" s="1"/>
  <c r="D29" i="1" a="1"/>
  <c r="D29" i="1" s="1"/>
  <c r="D33" i="1" s="1"/>
  <c r="M20" i="1"/>
  <c r="M14" i="1"/>
  <c r="M17" i="1" s="1"/>
  <c r="M23" i="1" l="1"/>
  <c r="D34" i="1" s="1"/>
  <c r="D35" i="1" s="1"/>
  <c r="E37" i="1" s="1"/>
  <c r="E40" i="1" s="1"/>
  <c r="I35" i="1" l="1" a="1"/>
  <c r="I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<sst xmlns="http://schemas.openxmlformats.org/spreadsheetml/2006/main" count="180" uniqueCount="92">
  <si>
    <t>peer1</t>
    <phoneticPr fontId="3" type="noConversion"/>
  </si>
  <si>
    <t>peer2</t>
    <phoneticPr fontId="3" type="noConversion"/>
  </si>
  <si>
    <t>peer3</t>
    <phoneticPr fontId="3" type="noConversion"/>
  </si>
  <si>
    <t>peer4</t>
    <phoneticPr fontId="3" type="noConversion"/>
  </si>
  <si>
    <t>peer5</t>
    <phoneticPr fontId="3" type="noConversion"/>
  </si>
  <si>
    <t>사업유사도 기준</t>
    <phoneticPr fontId="3" type="noConversion"/>
  </si>
  <si>
    <t>업종+시총 기준</t>
    <phoneticPr fontId="3" type="noConversion"/>
  </si>
  <si>
    <t>시총 기준</t>
    <phoneticPr fontId="3" type="noConversion"/>
  </si>
  <si>
    <t>업종 기준</t>
    <phoneticPr fontId="3" type="noConversion"/>
  </si>
  <si>
    <t>시총+사업유사도 기준</t>
    <phoneticPr fontId="3" type="noConversion"/>
  </si>
  <si>
    <t>Selected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</si>
  <si>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</si>
  <si>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</si>
  <si>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</si>
  <si>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</si>
  <si>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</si>
  <si>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D/E</t>
    <phoneticPr fontId="3" type="noConversion"/>
  </si>
  <si>
    <t>Tax Rate</t>
    <phoneticPr fontId="3" type="noConversion"/>
  </si>
  <si>
    <t>Market Cap</t>
    <phoneticPr fontId="3" type="noConversion"/>
  </si>
  <si>
    <t>IBD</t>
    <phoneticPr fontId="3" type="noConversion"/>
  </si>
  <si>
    <t>Unleveraged Beta</t>
    <phoneticPr fontId="3" type="noConversion"/>
  </si>
  <si>
    <t>Leveraged Beta</t>
    <phoneticPr fontId="3" type="noConversion"/>
  </si>
  <si>
    <t>Avg</t>
    <phoneticPr fontId="3" type="noConversion"/>
  </si>
  <si>
    <t>Med</t>
    <phoneticPr fontId="3" type="noConversion"/>
  </si>
  <si>
    <t>목표자본구조</t>
    <phoneticPr fontId="3" type="noConversion"/>
  </si>
  <si>
    <t>Releveraged Beta</t>
    <phoneticPr fontId="3" type="noConversion"/>
  </si>
  <si>
    <t>Rf</t>
    <phoneticPr fontId="3" type="noConversion"/>
  </si>
  <si>
    <t>ERP</t>
    <phoneticPr fontId="3" type="noConversion"/>
  </si>
  <si>
    <t>Ke</t>
    <phoneticPr fontId="3" type="noConversion"/>
  </si>
  <si>
    <t>Size Risk Premium</t>
    <phoneticPr fontId="3" type="noConversion"/>
  </si>
  <si>
    <t>Country Risk Premium</t>
    <phoneticPr fontId="3" type="noConversion"/>
  </si>
  <si>
    <t>Ke*</t>
    <phoneticPr fontId="3" type="noConversion"/>
  </si>
  <si>
    <t>Kd</t>
    <phoneticPr fontId="3" type="noConversion"/>
  </si>
  <si>
    <t>E/C</t>
    <phoneticPr fontId="3" type="noConversion"/>
  </si>
  <si>
    <t>D/C</t>
    <phoneticPr fontId="3" type="noConversion"/>
  </si>
  <si>
    <t>Weighted Average of Capital Cost</t>
    <phoneticPr fontId="3" type="noConversion"/>
  </si>
  <si>
    <t>Kd (After Tax)</t>
    <phoneticPr fontId="3" type="noConversion"/>
  </si>
  <si>
    <t>TV</t>
    <phoneticPr fontId="3" type="noConversion"/>
  </si>
  <si>
    <t>EBIT</t>
    <phoneticPr fontId="3" type="noConversion"/>
  </si>
  <si>
    <t>EBIT(1-t)</t>
    <phoneticPr fontId="3" type="noConversion"/>
  </si>
  <si>
    <t>t</t>
    <phoneticPr fontId="3" type="noConversion"/>
  </si>
  <si>
    <t>D/A</t>
    <phoneticPr fontId="3" type="noConversion"/>
  </si>
  <si>
    <t>CAPEX</t>
    <phoneticPr fontId="3" type="noConversion"/>
  </si>
  <si>
    <t>△NWC</t>
    <phoneticPr fontId="3" type="noConversion"/>
  </si>
  <si>
    <t>FCFF</t>
    <phoneticPr fontId="3" type="noConversion"/>
  </si>
  <si>
    <t>EV</t>
    <phoneticPr fontId="3" type="noConversion"/>
  </si>
  <si>
    <t>WACC</t>
    <phoneticPr fontId="3" type="noConversion"/>
  </si>
  <si>
    <t>PV(FCFF)</t>
    <phoneticPr fontId="3" type="noConversion"/>
  </si>
  <si>
    <t>Enterprise Value</t>
    <phoneticPr fontId="3" type="noConversion"/>
  </si>
  <si>
    <t>NOA</t>
    <phoneticPr fontId="3" type="noConversion"/>
  </si>
  <si>
    <t xml:space="preserve">Equity Value </t>
    <phoneticPr fontId="3" type="noConversion"/>
  </si>
  <si>
    <t>발행주식수</t>
    <phoneticPr fontId="3" type="noConversion"/>
  </si>
  <si>
    <t>Price</t>
    <phoneticPr fontId="3" type="noConversion"/>
  </si>
  <si>
    <t>개별 주식 가격</t>
    <phoneticPr fontId="3" type="noConversion"/>
  </si>
  <si>
    <t>DCF</t>
    <phoneticPr fontId="3" type="noConversion"/>
  </si>
  <si>
    <t>개별 주식 가격 비교</t>
    <phoneticPr fontId="3" type="noConversion"/>
  </si>
  <si>
    <t>→</t>
    <phoneticPr fontId="3" type="noConversion"/>
  </si>
  <si>
    <t>EV/EBITDA 역산</t>
    <phoneticPr fontId="3" type="noConversion"/>
  </si>
  <si>
    <t xml:space="preserve">PER </t>
    <phoneticPr fontId="3" type="noConversion"/>
  </si>
  <si>
    <t>PBR</t>
    <phoneticPr fontId="3" type="noConversion"/>
  </si>
  <si>
    <t>DCF법</t>
    <phoneticPr fontId="3" type="noConversion"/>
  </si>
  <si>
    <t>AI 진단 및 해설</t>
    <phoneticPr fontId="3" type="noConversion"/>
  </si>
  <si>
    <t>예상 장애구간</t>
    <phoneticPr fontId="3" type="noConversion"/>
  </si>
  <si>
    <t>IBD &gt; 자본구조 산출</t>
    <phoneticPr fontId="3" type="noConversion"/>
  </si>
  <si>
    <t>유사기업 선정</t>
    <phoneticPr fontId="3" type="noConversion"/>
  </si>
  <si>
    <t>Beta 계산</t>
    <phoneticPr fontId="3" type="noConversion"/>
  </si>
  <si>
    <t>감가상각비 구하기</t>
    <phoneticPr fontId="3" type="noConversion"/>
  </si>
  <si>
    <t>capex 구하기</t>
    <phoneticPr fontId="3" type="noConversion"/>
  </si>
  <si>
    <t>NWC 구하기</t>
    <phoneticPr fontId="3" type="noConversion"/>
  </si>
  <si>
    <t>NOA 구하기</t>
    <phoneticPr fontId="3" type="noConversion"/>
  </si>
  <si>
    <t>가능</t>
    <phoneticPr fontId="3" type="noConversion"/>
  </si>
  <si>
    <t>결정요소</t>
    <phoneticPr fontId="3" type="noConversion"/>
  </si>
  <si>
    <t>계산 과정을 얼마나 보여줄지</t>
    <phoneticPr fontId="3" type="noConversion"/>
  </si>
  <si>
    <t>멀티플 비교할지 or DCF 방식에 기존 산식에 포함되지 않는 정성적인 요소를 고려한 독자적인 산식 개발</t>
    <phoneticPr fontId="3" type="noConversion"/>
  </si>
  <si>
    <t>EBITDA</t>
    <phoneticPr fontId="3" type="noConversion"/>
  </si>
  <si>
    <t>EPS</t>
    <phoneticPr fontId="3" type="noConversion"/>
  </si>
  <si>
    <t>EV/EBITDA</t>
    <phoneticPr fontId="3" type="noConversion"/>
  </si>
  <si>
    <t>PER</t>
    <phoneticPr fontId="3" type="noConversion"/>
  </si>
  <si>
    <t>평가대상</t>
    <phoneticPr fontId="3" type="noConversion"/>
  </si>
  <si>
    <t>PER 역산</t>
    <phoneticPr fontId="3" type="noConversion"/>
  </si>
  <si>
    <t>PBR 역산</t>
    <phoneticPr fontId="3" type="noConversion"/>
  </si>
  <si>
    <t>A * B</t>
    <phoneticPr fontId="3" type="noConversion"/>
  </si>
  <si>
    <t>( A * B - IBD + NOA ) / 발행주식수</t>
    <phoneticPr fontId="3" type="noConversion"/>
  </si>
  <si>
    <t>BPS</t>
    <phoneticPr fontId="3" type="noConversion"/>
  </si>
  <si>
    <t xml:space="preserve">현재 주가 </t>
    <phoneticPr fontId="3" type="noConversion"/>
  </si>
  <si>
    <t>공통</t>
    <phoneticPr fontId="3" type="noConversion"/>
  </si>
  <si>
    <t>F</t>
    <phoneticPr fontId="3" type="noConversion"/>
  </si>
  <si>
    <t>G</t>
    <phoneticPr fontId="3" type="noConversion"/>
  </si>
  <si>
    <t>J</t>
    <phoneticPr fontId="3" type="noConversion"/>
  </si>
  <si>
    <t>X</t>
    <phoneticPr fontId="3" type="noConversion"/>
  </si>
  <si>
    <t>Z</t>
    <phoneticPr fontId="3" type="noConversion"/>
  </si>
  <si>
    <t>Q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</si>
</sst>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theme="2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medium">
        <color indexed="64"/>
      </left>
      <right/>
      <top/>
      <bottom/>
      <diagonal/>
    </border>
    <border>
      <left style="thick">
        <color theme="2" tint="-9.9978637043366805E-2"/>
      </left>
      <right style="thick">
        <color theme="2" tint="-9.9978637043366805E-2"/>
      </right>
      <top style="thick">
        <color theme="2" tint="-9.9978637043366805E-2"/>
      </top>
      <bottom style="thick">
        <color theme="2" tint="-9.9978637043366805E-2"/>
      </bottom>
      <diagonal/>
    </border>
    <border>
      <left style="thick">
        <color theme="2" tint="-9.9978637043366805E-2"/>
      </left>
      <right/>
      <top style="thick">
        <color theme="2" tint="-9.9978637043366805E-2"/>
      </top>
      <bottom/>
      <diagonal/>
    </border>
    <border>
      <left/>
      <right/>
      <top style="thick">
        <color theme="2" tint="-9.9978637043366805E-2"/>
      </top>
      <bottom/>
      <diagonal/>
    </border>
    <border>
      <left/>
      <right style="thick">
        <color theme="2" tint="-9.9978637043366805E-2"/>
      </right>
      <top style="thick">
        <color theme="2" tint="-9.9978637043366805E-2"/>
      </top>
      <bottom/>
      <diagonal/>
    </border>
    <border>
      <left style="thick">
        <color theme="2" tint="-9.9978637043366805E-2"/>
      </left>
      <right/>
      <top/>
      <bottom/>
      <diagonal/>
    </border>
    <border>
      <left/>
      <right style="thick">
        <color theme="2" tint="-9.9978637043366805E-2"/>
      </right>
      <top/>
      <bottom/>
      <diagonal/>
    </border>
    <border>
      <left style="thick">
        <color theme="2" tint="-9.9978637043366805E-2"/>
      </left>
      <right/>
      <top/>
      <bottom style="thick">
        <color theme="2" tint="-9.9978637043366805E-2"/>
      </bottom>
      <diagonal/>
    </border>
    <border>
      <left/>
      <right/>
      <top/>
      <bottom style="thick">
        <color theme="2" tint="-9.9978637043366805E-2"/>
      </bottom>
      <diagonal/>
    </border>
    <border>
      <left/>
      <right style="thick">
        <color theme="2" tint="-9.9978637043366805E-2"/>
      </right>
      <top/>
      <bottom style="thick">
        <color theme="2" tint="-9.9978637043366805E-2"/>
      </bottom>
      <diagonal/>
    </border>
    <border>
      <left/>
      <right/>
      <top/>
      <bottom style="medium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1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1" fillId="6" borderId="0" xfId="1" applyFill="1" applyBorder="1" applyAlignment="1">
      <alignment horizontal="center" vertical="center"/>
    </xf>
    <xf numFmtId="0" fontId="0" fillId="6" borderId="0" xfId="0" applyFill="1">
      <alignment vertical="center"/>
    </xf>
    <xf numFmtId="0" fontId="4" fillId="6" borderId="0" xfId="4" applyFont="1" applyFill="1" applyBorder="1">
      <alignment vertical="center"/>
    </xf>
    <xf numFmtId="0" fontId="4" fillId="2" borderId="0" xfId="1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14" borderId="0" xfId="0" applyFont="1" applyFill="1" applyAlignment="1">
      <alignment horizontal="right" vertical="center"/>
    </xf>
    <xf numFmtId="0" fontId="4" fillId="12" borderId="1" xfId="10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1" fillId="6" borderId="1" xfId="8" applyNumberFormat="1" applyFill="1" applyBorder="1" applyAlignment="1">
      <alignment horizontal="center" vertical="center"/>
    </xf>
    <xf numFmtId="0" fontId="4" fillId="10" borderId="1" xfId="8" applyFont="1" applyBorder="1" applyAlignment="1">
      <alignment horizontal="center" vertical="center"/>
    </xf>
    <xf numFmtId="0" fontId="4" fillId="10" borderId="4" xfId="8" applyFont="1" applyBorder="1" applyAlignment="1">
      <alignment horizontal="center" vertical="center"/>
    </xf>
    <xf numFmtId="0" fontId="4" fillId="5" borderId="0" xfId="4" applyFont="1" applyBorder="1" applyAlignment="1">
      <alignment horizontal="center" vertical="center"/>
    </xf>
    <xf numFmtId="0" fontId="4" fillId="4" borderId="0" xfId="3" applyFont="1" applyBorder="1" applyAlignment="1">
      <alignment horizontal="right" vertical="center"/>
    </xf>
    <xf numFmtId="10" fontId="4" fillId="4" borderId="0" xfId="3" applyNumberFormat="1" applyFont="1" applyBorder="1">
      <alignment vertical="center"/>
    </xf>
    <xf numFmtId="0" fontId="4" fillId="5" borderId="0" xfId="4" applyFont="1" applyBorder="1">
      <alignment vertical="center"/>
    </xf>
    <xf numFmtId="0" fontId="5" fillId="6" borderId="0" xfId="4" applyFont="1" applyFill="1" applyBorder="1" applyAlignment="1">
      <alignment horizontal="center" vertical="center"/>
    </xf>
    <xf numFmtId="0" fontId="7" fillId="5" borderId="0" xfId="4" applyFont="1" applyBorder="1" applyAlignment="1">
      <alignment horizontal="center" vertical="center"/>
    </xf>
    <xf numFmtId="0" fontId="1" fillId="5" borderId="0" xfId="4" applyBorder="1">
      <alignment vertical="center"/>
    </xf>
    <xf numFmtId="0" fontId="6" fillId="3" borderId="0" xfId="2" applyFont="1" applyBorder="1" applyAlignment="1">
      <alignment horizontal="right" vertical="center"/>
    </xf>
    <xf numFmtId="10" fontId="6" fillId="3" borderId="0" xfId="2" applyNumberFormat="1" applyFont="1" applyBorder="1">
      <alignment vertical="center"/>
    </xf>
    <xf numFmtId="0" fontId="4" fillId="13" borderId="0" xfId="11" applyFont="1" applyBorder="1" applyAlignment="1">
      <alignment horizontal="center" vertical="center"/>
    </xf>
    <xf numFmtId="0" fontId="0" fillId="14" borderId="0" xfId="0" applyFill="1">
      <alignment vertical="center"/>
    </xf>
    <xf numFmtId="10" fontId="0" fillId="0" borderId="0" xfId="0" applyNumberFormat="1">
      <alignment vertical="center"/>
    </xf>
    <xf numFmtId="0" fontId="6" fillId="11" borderId="0" xfId="9" applyFont="1" applyBorder="1">
      <alignment vertical="center"/>
    </xf>
    <xf numFmtId="0" fontId="2" fillId="11" borderId="0" xfId="9" applyBorder="1">
      <alignment vertical="center"/>
    </xf>
    <xf numFmtId="0" fontId="1" fillId="12" borderId="0" xfId="10" applyBorder="1">
      <alignment vertical="center"/>
    </xf>
    <xf numFmtId="0" fontId="4" fillId="12" borderId="0" xfId="1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6" borderId="8" xfId="0" applyFill="1" applyBorder="1">
      <alignment vertical="center"/>
    </xf>
    <xf numFmtId="0" fontId="0" fillId="6" borderId="9" xfId="0" applyFill="1" applyBorder="1">
      <alignment vertical="center"/>
    </xf>
    <xf numFmtId="0" fontId="0" fillId="0" borderId="10" xfId="0" applyBorder="1">
      <alignment vertical="center"/>
    </xf>
    <xf numFmtId="0" fontId="6" fillId="11" borderId="11" xfId="9" applyFont="1" applyBorder="1">
      <alignment vertical="center"/>
    </xf>
    <xf numFmtId="0" fontId="2" fillId="11" borderId="11" xfId="9" applyBorder="1">
      <alignment vertical="center"/>
    </xf>
    <xf numFmtId="0" fontId="4" fillId="12" borderId="11" xfId="10" applyFont="1" applyBorder="1" applyAlignment="1">
      <alignment horizontal="center" vertical="center"/>
    </xf>
    <xf numFmtId="0" fontId="0" fillId="0" borderId="11" xfId="0" applyBorder="1">
      <alignment vertic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176" fontId="10" fillId="6" borderId="1" xfId="8" applyNumberFormat="1" applyFont="1" applyFill="1" applyBorder="1" applyAlignment="1">
      <alignment horizontal="center" vertical="center"/>
    </xf>
    <xf numFmtId="176" fontId="11" fillId="6" borderId="4" xfId="8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" fillId="15" borderId="1" xfId="8" applyFont="1" applyFill="1" applyBorder="1" applyAlignment="1">
      <alignment horizontal="center" vertical="center"/>
    </xf>
    <xf numFmtId="0" fontId="4" fillId="16" borderId="1" xfId="8" applyFont="1" applyFill="1" applyBorder="1" applyAlignment="1">
      <alignment horizontal="center" vertical="center"/>
    </xf>
    <xf numFmtId="0" fontId="6" fillId="16" borderId="1" xfId="8" applyFont="1" applyFill="1" applyBorder="1" applyAlignment="1">
      <alignment horizontal="right" vertical="center"/>
    </xf>
    <xf numFmtId="0" fontId="4" fillId="15" borderId="2" xfId="8" applyFont="1" applyFill="1" applyBorder="1" applyAlignment="1">
      <alignment horizontal="center" vertical="center"/>
    </xf>
    <xf numFmtId="0" fontId="4" fillId="15" borderId="4" xfId="8" applyFont="1" applyFill="1" applyBorder="1" applyAlignment="1">
      <alignment horizontal="center" vertical="center"/>
    </xf>
    <xf numFmtId="0" fontId="4" fillId="15" borderId="3" xfId="8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176" fontId="10" fillId="6" borderId="0" xfId="8" applyNumberFormat="1" applyFont="1" applyFill="1" applyBorder="1" applyAlignment="1">
      <alignment horizontal="center" vertical="center"/>
    </xf>
    <xf numFmtId="176" fontId="10" fillId="6" borderId="16" xfId="8" applyNumberFormat="1" applyFont="1" applyFill="1" applyBorder="1" applyAlignment="1">
      <alignment horizontal="center" vertical="center"/>
    </xf>
    <xf numFmtId="176" fontId="10" fillId="6" borderId="17" xfId="8" applyNumberFormat="1" applyFont="1" applyFill="1" applyBorder="1" applyAlignment="1">
      <alignment horizontal="center" vertical="center"/>
    </xf>
    <xf numFmtId="176" fontId="10" fillId="6" borderId="18" xfId="8" applyNumberFormat="1" applyFont="1" applyFill="1" applyBorder="1" applyAlignment="1">
      <alignment horizontal="center" vertical="center"/>
    </xf>
    <xf numFmtId="176" fontId="10" fillId="6" borderId="19" xfId="8" applyNumberFormat="1" applyFont="1" applyFill="1" applyBorder="1" applyAlignment="1">
      <alignment horizontal="center" vertical="center"/>
    </xf>
    <xf numFmtId="176" fontId="10" fillId="6" borderId="20" xfId="8" applyNumberFormat="1" applyFont="1" applyFill="1" applyBorder="1" applyAlignment="1">
      <alignment horizontal="center" vertical="center"/>
    </xf>
    <xf numFmtId="176" fontId="10" fillId="6" borderId="21" xfId="8" applyNumberFormat="1" applyFont="1" applyFill="1" applyBorder="1" applyAlignment="1">
      <alignment horizontal="center" vertical="center"/>
    </xf>
    <xf numFmtId="176" fontId="10" fillId="6" borderId="22" xfId="8" applyNumberFormat="1" applyFont="1" applyFill="1" applyBorder="1" applyAlignment="1">
      <alignment horizontal="center" vertical="center"/>
    </xf>
    <xf numFmtId="176" fontId="10" fillId="6" borderId="23" xfId="8" applyNumberFormat="1" applyFont="1" applyFill="1" applyBorder="1" applyAlignment="1">
      <alignment horizontal="center" vertical="center"/>
    </xf>
    <xf numFmtId="0" fontId="6" fillId="17" borderId="15" xfId="5" applyFont="1" applyFill="1" applyBorder="1" applyAlignment="1">
      <alignment horizontal="center" vertical="center"/>
    </xf>
    <xf numFmtId="0" fontId="0" fillId="0" borderId="24" xfId="0" applyBorder="1">
      <alignment vertical="center"/>
    </xf>
    <xf numFmtId="0" fontId="5" fillId="6" borderId="25" xfId="4" applyFont="1" applyFill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6" borderId="30" xfId="0" applyFill="1" applyBorder="1">
      <alignment vertical="center"/>
    </xf>
    <xf numFmtId="0" fontId="0" fillId="6" borderId="31" xfId="0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2" fillId="9" borderId="30" xfId="7" applyBorder="1">
      <alignment vertical="center"/>
    </xf>
    <xf numFmtId="0" fontId="2" fillId="9" borderId="0" xfId="7" applyBorder="1">
      <alignment vertical="center"/>
    </xf>
    <xf numFmtId="0" fontId="2" fillId="9" borderId="31" xfId="7" applyBorder="1">
      <alignment vertical="center"/>
    </xf>
    <xf numFmtId="0" fontId="2" fillId="9" borderId="0" xfId="7">
      <alignment vertical="center"/>
    </xf>
    <xf numFmtId="0" fontId="0" fillId="18" borderId="27" xfId="0" applyFill="1" applyBorder="1">
      <alignment vertical="center"/>
    </xf>
    <xf numFmtId="0" fontId="0" fillId="18" borderId="28" xfId="0" applyFill="1" applyBorder="1">
      <alignment vertical="center"/>
    </xf>
    <xf numFmtId="0" fontId="0" fillId="18" borderId="30" xfId="0" applyFill="1" applyBorder="1">
      <alignment vertical="center"/>
    </xf>
    <xf numFmtId="0" fontId="0" fillId="18" borderId="0" xfId="0" applyFill="1">
      <alignment vertical="center"/>
    </xf>
    <xf numFmtId="0" fontId="4" fillId="6" borderId="0" xfId="4" applyFont="1" applyFill="1" applyBorder="1" applyAlignment="1">
      <alignment horizontal="center" vertical="center"/>
    </xf>
    <xf numFmtId="0" fontId="1" fillId="5" borderId="34" xfId="4" applyBorder="1">
      <alignment vertical="center"/>
    </xf>
    <xf numFmtId="0" fontId="1" fillId="5" borderId="35" xfId="4" applyBorder="1">
      <alignment vertical="center"/>
    </xf>
    <xf numFmtId="0" fontId="1" fillId="5" borderId="36" xfId="4" applyBorder="1">
      <alignment vertical="center"/>
    </xf>
    <xf numFmtId="0" fontId="1" fillId="6" borderId="0" xfId="4" applyFill="1" applyBorder="1">
      <alignment vertical="center"/>
    </xf>
    <xf numFmtId="0" fontId="7" fillId="6" borderId="0" xfId="6" applyFont="1" applyFill="1" applyBorder="1">
      <alignment vertical="center"/>
    </xf>
    <xf numFmtId="0" fontId="4" fillId="5" borderId="26" xfId="4" applyFont="1" applyBorder="1" applyAlignment="1">
      <alignment horizontal="center" vertical="center"/>
    </xf>
    <xf numFmtId="176" fontId="7" fillId="6" borderId="4" xfId="8" applyNumberFormat="1" applyFont="1" applyFill="1" applyBorder="1" applyAlignment="1">
      <alignment horizontal="center" vertical="center"/>
    </xf>
    <xf numFmtId="176" fontId="4" fillId="18" borderId="1" xfId="8" applyNumberFormat="1" applyFont="1" applyFill="1" applyBorder="1" applyAlignment="1">
      <alignment horizontal="center" vertical="center"/>
    </xf>
    <xf numFmtId="0" fontId="1" fillId="12" borderId="0" xfId="10" applyBorder="1" applyAlignment="1">
      <alignment horizontal="center" vertical="center"/>
    </xf>
    <xf numFmtId="0" fontId="4" fillId="12" borderId="0" xfId="10" applyFont="1" applyBorder="1">
      <alignment vertical="center"/>
    </xf>
    <xf numFmtId="0" fontId="4" fillId="12" borderId="26" xfId="10" applyFont="1" applyBorder="1" applyAlignment="1">
      <alignment horizontal="center" vertical="center"/>
    </xf>
    <xf numFmtId="0" fontId="4" fillId="6" borderId="0" xfId="0" applyFont="1" applyFill="1">
      <alignment vertical="center"/>
    </xf>
    <xf numFmtId="0" fontId="4" fillId="12" borderId="4" xfId="10" applyFont="1" applyBorder="1" applyAlignment="1">
      <alignment horizontal="center" vertical="center"/>
    </xf>
    <xf numFmtId="0" fontId="0" fillId="18" borderId="31" xfId="0" applyFill="1" applyBorder="1">
      <alignment vertical="center"/>
    </xf>
    <xf numFmtId="0" fontId="0" fillId="18" borderId="29" xfId="0" applyFill="1" applyBorder="1">
      <alignment vertical="center"/>
    </xf>
    <xf numFmtId="0" fontId="4" fillId="6" borderId="0" xfId="8" applyFont="1" applyFill="1" applyBorder="1" applyAlignment="1">
      <alignment horizontal="center" vertical="center"/>
    </xf>
    <xf numFmtId="0" fontId="13" fillId="6" borderId="0" xfId="8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2">
    <cellStyle name="20% - 강조색1" xfId="1" builtinId="30"/>
    <cellStyle name="20% - 강조색2" xfId="3" builtinId="34"/>
    <cellStyle name="20% - 강조색4" xfId="8" builtinId="42"/>
    <cellStyle name="20% - 강조색6" xfId="10" builtinId="50"/>
    <cellStyle name="40% - 강조색2" xfId="4" builtinId="35"/>
    <cellStyle name="40% - 강조색6" xfId="11" builtinId="51"/>
    <cellStyle name="강조색2" xfId="2" builtinId="33"/>
    <cellStyle name="강조색3" xfId="7" builtinId="37"/>
    <cellStyle name="강조색6" xfId="9" builtinId="49"/>
    <cellStyle name="나쁨" xfId="5" builtinId="27"/>
    <cellStyle name="보통" xfId="6" builtinId="28"/>
    <cellStyle name="표준" xfId="0" builtinId="0"/>
  </cellStyles>
  <dxfs count="0"/>
  <tableStyles count="0" defaultTableStyle="TableStyleMedium2" defaultPivotStyle="PivotStyleLight16"/>
  <colors>
    <mruColors>
      <color rgb="FFED93ED"/>
      <color rgb="FFFE6A4C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703387</xdr:colOff>
      <xdr:row>10</xdr:row>
      <xdr:rowOff>58616</xdr:rowOff>
    </xdr:from>
    <xdr:to>
      <xdr:col>10</xdr:col>
      <xdr:colOff>586151</xdr:colOff>
      <xdr:row>21</xdr:row>
      <xdr:rowOff>190501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48F4F7B2-B3F7-E412-EC72-9C6958B8B6C7}"/>
            </a:ext>
          </a:extLst>
        </xdr:cNvPr>
        <xdr:cNvCxnSpPr/>
      </xdr:nvCxnSpPr>
      <xdr:spPr>
        <a:xfrm rot="5400000" flipH="1" flipV="1">
          <a:off x="9283212" y="2454522"/>
          <a:ext cx="2461846" cy="1948957"/>
        </a:xfrm>
        <a:prstGeom prst="bentConnector3">
          <a:avLst>
            <a:gd name="adj1" fmla="val 99405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D225-F4E3-40C1-B5A0-6CDCB6B5AF0E}">
  <dimension ref="B2:AB58"/>
  <sheetViews>
    <sheetView showGridLines="0" tabSelected="1" zoomScale="85" zoomScaleNormal="60" workbookViewId="0"/>
  </sheetViews>
  <sheetFormatPr defaultRowHeight="16.5" x14ac:dyDescent="0.3"/>
  <cols>
    <col min="3" max="3" width="12.25" customWidth="1"/>
    <col min="4" max="4" width="12" customWidth="1"/>
    <col min="5" max="5" width="18.875" customWidth="1"/>
    <col min="6" max="6" width="15.625" customWidth="1"/>
    <col min="7" max="7" width="15.125" customWidth="1"/>
    <col min="8" max="8" width="24.125" customWidth="1"/>
    <col min="9" max="9" width="18.125" bestFit="1" customWidth="1"/>
    <col min="12" max="12" width="34.375" bestFit="1" customWidth="1"/>
    <col min="13" max="13" width="12.875" bestFit="1" customWidth="1"/>
  </cols>
  <sheetData>
    <row r="2" spans="2:21" ht="17.25" thickBot="1" x14ac:dyDescent="0.35">
      <c r="B2" s="46" t="s">
        <v>60</v>
      </c>
    </row>
    <row r="3" spans="2:21" ht="18" thickTop="1" thickBot="1" x14ac:dyDescent="0.35"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  <c r="P3" s="5" t="s">
        <v>62</v>
      </c>
    </row>
    <row r="4" spans="2:21" ht="17.25" thickBot="1" x14ac:dyDescent="0.35">
      <c r="B4" s="32"/>
      <c r="G4" s="47" t="s">
        <v>10</v>
      </c>
      <c r="N4" s="33"/>
      <c r="P4" s="80" t="s">
        <v>63</v>
      </c>
      <c r="Q4" s="81"/>
      <c r="R4" s="81"/>
      <c r="S4" s="81"/>
      <c r="T4" s="99"/>
      <c r="U4" s="83" t="s">
        <v>85</v>
      </c>
    </row>
    <row r="5" spans="2:21" ht="17.25" thickBot="1" x14ac:dyDescent="0.35">
      <c r="B5" s="32"/>
      <c r="C5" s="4"/>
      <c r="D5" s="4" t="s">
        <v>8</v>
      </c>
      <c r="E5" s="4" t="s">
        <v>7</v>
      </c>
      <c r="F5" s="4" t="s">
        <v>5</v>
      </c>
      <c r="G5" s="47" t="s">
        <v>6</v>
      </c>
      <c r="H5" s="4" t="s">
        <v>9</v>
      </c>
      <c r="I5" s="1"/>
      <c r="N5" s="33"/>
      <c r="P5" s="76" t="s">
        <v>64</v>
      </c>
      <c r="Q5" s="77"/>
      <c r="R5" s="77"/>
      <c r="S5" s="77"/>
      <c r="T5" s="78"/>
      <c r="U5" s="79" t="s">
        <v>70</v>
      </c>
    </row>
    <row r="6" spans="2:21" x14ac:dyDescent="0.3">
      <c r="B6" s="32"/>
      <c r="C6" s="4" t="s">
        <v>0</v>
      </c>
      <c r="G6" s="50" t="s">
        <v>11</v>
      </c>
      <c r="N6" s="33"/>
      <c r="P6" s="76" t="s">
        <v>65</v>
      </c>
      <c r="Q6" s="77"/>
      <c r="R6" s="77"/>
      <c r="S6" s="77"/>
      <c r="T6" s="78"/>
      <c r="U6" s="79" t="s">
        <v>70</v>
      </c>
    </row>
    <row r="7" spans="2:21" x14ac:dyDescent="0.3">
      <c r="B7" s="32"/>
      <c r="C7" s="4" t="s">
        <v>1</v>
      </c>
      <c r="G7" s="52" t="s">
        <v>12</v>
      </c>
      <c r="N7" s="33"/>
      <c r="P7" s="72" t="s">
        <v>66</v>
      </c>
      <c r="Q7" s="2"/>
      <c r="R7" s="2"/>
      <c r="T7" s="71"/>
    </row>
    <row r="8" spans="2:21" x14ac:dyDescent="0.3">
      <c r="B8" s="32"/>
      <c r="C8" s="4" t="s">
        <v>2</v>
      </c>
      <c r="G8" s="52" t="s">
        <v>13</v>
      </c>
      <c r="N8" s="33"/>
      <c r="P8" s="72" t="s">
        <v>67</v>
      </c>
      <c r="Q8" s="2"/>
      <c r="R8" s="2"/>
      <c r="T8" s="71"/>
    </row>
    <row r="9" spans="2:21" x14ac:dyDescent="0.3">
      <c r="B9" s="32"/>
      <c r="C9" s="4" t="s">
        <v>3</v>
      </c>
      <c r="G9" s="52" t="s">
        <v>14</v>
      </c>
      <c r="H9" s="53"/>
      <c r="N9" s="33"/>
      <c r="P9" s="72" t="s">
        <v>68</v>
      </c>
      <c r="Q9" s="2"/>
      <c r="R9" s="2"/>
      <c r="T9" s="71"/>
    </row>
    <row r="10" spans="2:21" ht="17.25" thickBot="1" x14ac:dyDescent="0.35">
      <c r="B10" s="32"/>
      <c r="C10" s="4" t="s">
        <v>4</v>
      </c>
      <c r="G10" s="51" t="s">
        <v>15</v>
      </c>
      <c r="N10" s="33"/>
      <c r="P10" s="82" t="s">
        <v>69</v>
      </c>
      <c r="Q10" s="83"/>
      <c r="R10" s="83"/>
      <c r="S10" s="83"/>
      <c r="T10" s="98"/>
      <c r="U10" s="83" t="s">
        <v>85</v>
      </c>
    </row>
    <row r="11" spans="2:21" s="2" customFormat="1" ht="17.25" thickBot="1" x14ac:dyDescent="0.35">
      <c r="B11" s="34"/>
      <c r="C11" s="1"/>
      <c r="G11" s="3"/>
      <c r="L11" s="49" t="s">
        <v>25</v>
      </c>
      <c r="M11" s="21"/>
      <c r="N11" s="35"/>
      <c r="P11" s="72"/>
      <c r="T11" s="73"/>
    </row>
    <row r="12" spans="2:21" x14ac:dyDescent="0.3">
      <c r="B12" s="32"/>
      <c r="L12" s="6" t="s">
        <v>26</v>
      </c>
      <c r="N12" s="33"/>
      <c r="P12" s="70"/>
      <c r="T12" s="71"/>
    </row>
    <row r="13" spans="2:21" ht="17.25" thickBot="1" x14ac:dyDescent="0.35">
      <c r="B13" s="32"/>
      <c r="C13" s="16"/>
      <c r="D13" s="13" t="s">
        <v>19</v>
      </c>
      <c r="E13" s="13" t="s">
        <v>18</v>
      </c>
      <c r="F13" s="13" t="s">
        <v>16</v>
      </c>
      <c r="G13" s="13" t="s">
        <v>17</v>
      </c>
      <c r="H13" s="13" t="s">
        <v>21</v>
      </c>
      <c r="I13" s="13" t="s">
        <v>20</v>
      </c>
      <c r="L13" s="6" t="s">
        <v>27</v>
      </c>
      <c r="N13" s="33"/>
      <c r="P13" s="74"/>
      <c r="Q13" s="64"/>
      <c r="R13" s="64"/>
      <c r="S13" s="64"/>
      <c r="T13" s="75"/>
    </row>
    <row r="14" spans="2:21" x14ac:dyDescent="0.3">
      <c r="B14" s="32"/>
      <c r="C14" s="50" t="s">
        <v>11</v>
      </c>
      <c r="L14" s="14" t="s">
        <v>28</v>
      </c>
      <c r="M14" s="15">
        <f>M11*M13+M12</f>
        <v>0</v>
      </c>
      <c r="N14" s="33"/>
    </row>
    <row r="15" spans="2:21" x14ac:dyDescent="0.3">
      <c r="B15" s="32"/>
      <c r="C15" s="52" t="s">
        <v>12</v>
      </c>
      <c r="L15" s="6" t="s">
        <v>29</v>
      </c>
      <c r="N15" s="33"/>
    </row>
    <row r="16" spans="2:21" x14ac:dyDescent="0.3">
      <c r="B16" s="32"/>
      <c r="C16" s="52" t="s">
        <v>13</v>
      </c>
      <c r="L16" s="6" t="s">
        <v>30</v>
      </c>
      <c r="N16" s="33"/>
    </row>
    <row r="17" spans="2:28" x14ac:dyDescent="0.3">
      <c r="B17" s="32"/>
      <c r="C17" s="52" t="s">
        <v>14</v>
      </c>
      <c r="L17" s="14" t="s">
        <v>31</v>
      </c>
      <c r="M17" s="15">
        <f>M14+M15+M16</f>
        <v>0</v>
      </c>
      <c r="N17" s="33"/>
    </row>
    <row r="18" spans="2:28" ht="17.25" thickBot="1" x14ac:dyDescent="0.35">
      <c r="B18" s="32"/>
      <c r="C18" s="51" t="s">
        <v>15</v>
      </c>
      <c r="D18" s="66"/>
      <c r="E18" s="66"/>
      <c r="F18" s="66"/>
      <c r="G18" s="66"/>
      <c r="H18" s="66"/>
      <c r="I18" s="66"/>
      <c r="L18" s="6" t="s">
        <v>32</v>
      </c>
      <c r="N18" s="33"/>
    </row>
    <row r="19" spans="2:28" ht="17.25" thickBot="1" x14ac:dyDescent="0.35">
      <c r="B19" s="32"/>
      <c r="C19" s="65" t="s">
        <v>22</v>
      </c>
      <c r="D19" s="66"/>
      <c r="E19" s="66"/>
      <c r="F19" s="66"/>
      <c r="G19" s="66"/>
      <c r="H19" s="66"/>
      <c r="I19" s="66"/>
      <c r="L19" s="6" t="s">
        <v>17</v>
      </c>
      <c r="N19" s="33"/>
      <c r="P19" s="5" t="s">
        <v>71</v>
      </c>
    </row>
    <row r="20" spans="2:28" ht="17.25" thickBot="1" x14ac:dyDescent="0.35">
      <c r="B20" s="32"/>
      <c r="C20" s="17" t="s">
        <v>23</v>
      </c>
      <c r="L20" s="14" t="s">
        <v>36</v>
      </c>
      <c r="M20" s="15">
        <f>M18*(1-M19)</f>
        <v>0</v>
      </c>
      <c r="N20" s="33"/>
      <c r="P20" s="67" t="s">
        <v>72</v>
      </c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9"/>
    </row>
    <row r="21" spans="2:28" ht="17.25" thickBot="1" x14ac:dyDescent="0.35">
      <c r="B21" s="32"/>
      <c r="C21" s="18" t="s">
        <v>10</v>
      </c>
      <c r="D21" s="19"/>
      <c r="E21" s="19"/>
      <c r="F21" s="47" t="s">
        <v>24</v>
      </c>
      <c r="G21" s="19"/>
      <c r="H21" s="19"/>
      <c r="I21" s="47"/>
      <c r="L21" s="6" t="s">
        <v>34</v>
      </c>
      <c r="N21" s="33"/>
      <c r="P21" s="70" t="s">
        <v>73</v>
      </c>
      <c r="AB21" s="71"/>
    </row>
    <row r="22" spans="2:28" ht="17.25" thickBot="1" x14ac:dyDescent="0.35">
      <c r="B22" s="32"/>
      <c r="L22" s="6" t="s">
        <v>33</v>
      </c>
      <c r="N22" s="33"/>
      <c r="P22" s="70"/>
      <c r="AB22" s="71"/>
    </row>
    <row r="23" spans="2:28" ht="17.25" thickBot="1" x14ac:dyDescent="0.35">
      <c r="B23" s="32"/>
      <c r="H23" s="20" t="s">
        <v>25</v>
      </c>
      <c r="I23" s="48"/>
      <c r="L23" s="20" t="s">
        <v>35</v>
      </c>
      <c r="M23" s="21">
        <f>M17*M22+M20*M21</f>
        <v>0</v>
      </c>
      <c r="N23" s="33"/>
      <c r="P23" s="70"/>
      <c r="AB23" s="71"/>
    </row>
    <row r="24" spans="2:28" ht="17.25" thickBot="1" x14ac:dyDescent="0.35">
      <c r="B24" s="32"/>
      <c r="L24" s="6"/>
      <c r="N24" s="33"/>
      <c r="P24" s="7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75"/>
    </row>
    <row r="25" spans="2:28" x14ac:dyDescent="0.3">
      <c r="B25" s="32"/>
      <c r="N25" s="33"/>
    </row>
    <row r="26" spans="2:28" x14ac:dyDescent="0.3">
      <c r="B26" s="32"/>
      <c r="C26" s="22">
        <v>24</v>
      </c>
      <c r="D26" s="22">
        <v>25</v>
      </c>
      <c r="E26" s="22">
        <v>26</v>
      </c>
      <c r="F26" s="22">
        <v>27</v>
      </c>
      <c r="G26" s="22">
        <v>28</v>
      </c>
      <c r="H26" s="22">
        <v>29</v>
      </c>
      <c r="I26" s="22" t="s">
        <v>37</v>
      </c>
      <c r="N26" s="33"/>
    </row>
    <row r="27" spans="2:28" x14ac:dyDescent="0.3">
      <c r="B27" s="32"/>
      <c r="C27" s="6" t="s">
        <v>38</v>
      </c>
      <c r="N27" s="33"/>
    </row>
    <row r="28" spans="2:28" x14ac:dyDescent="0.3">
      <c r="B28" s="32"/>
      <c r="C28" s="6" t="s">
        <v>40</v>
      </c>
      <c r="N28" s="33"/>
    </row>
    <row r="29" spans="2:28" x14ac:dyDescent="0.3">
      <c r="B29" s="32"/>
      <c r="C29" s="7" t="s">
        <v>39</v>
      </c>
      <c r="D29" s="23" t="e" cm="1">
        <f t="array" aca="1" ref="D29" ca="1">D27(1-C28)</f>
        <v>#REF!</v>
      </c>
      <c r="E29" s="23" t="e" cm="1">
        <f t="array" aca="1" ref="E29" ca="1">E27(1-D28)</f>
        <v>#REF!</v>
      </c>
      <c r="F29" s="23" t="e" cm="1">
        <f t="array" aca="1" ref="F29" ca="1">F27(1-E28)</f>
        <v>#REF!</v>
      </c>
      <c r="G29" s="23" t="e" cm="1">
        <f t="array" aca="1" ref="G29" ca="1">G27(1-F28)</f>
        <v>#REF!</v>
      </c>
      <c r="H29" s="23" t="e" cm="1">
        <f t="array" aca="1" ref="H29" ca="1">H27(1-G28)</f>
        <v>#REF!</v>
      </c>
      <c r="I29" s="23" t="e" cm="1">
        <f t="array" aca="1" ref="I29" ca="1">I27(1-H28)</f>
        <v>#REF!</v>
      </c>
      <c r="N29" s="33"/>
    </row>
    <row r="30" spans="2:28" x14ac:dyDescent="0.3">
      <c r="B30" s="32"/>
      <c r="C30" s="6" t="s">
        <v>41</v>
      </c>
      <c r="N30" s="33"/>
    </row>
    <row r="31" spans="2:28" x14ac:dyDescent="0.3">
      <c r="B31" s="32"/>
      <c r="C31" s="6" t="s">
        <v>42</v>
      </c>
      <c r="N31" s="33"/>
    </row>
    <row r="32" spans="2:28" x14ac:dyDescent="0.3">
      <c r="B32" s="32"/>
      <c r="C32" s="6" t="s">
        <v>43</v>
      </c>
      <c r="N32" s="33"/>
    </row>
    <row r="33" spans="2:18" x14ac:dyDescent="0.3">
      <c r="B33" s="32"/>
      <c r="C33" s="7" t="s">
        <v>44</v>
      </c>
      <c r="D33" s="23" t="e">
        <f ca="1">D29+D30-D31+D32</f>
        <v>#REF!</v>
      </c>
      <c r="E33" s="23" t="e">
        <f t="shared" ref="E33:I33" ca="1" si="0">E29+E30-E31+E32</f>
        <v>#REF!</v>
      </c>
      <c r="F33" s="23" t="e">
        <f t="shared" ca="1" si="0"/>
        <v>#REF!</v>
      </c>
      <c r="G33" s="23" t="e">
        <f t="shared" ca="1" si="0"/>
        <v>#REF!</v>
      </c>
      <c r="H33" s="23" t="e">
        <f t="shared" ca="1" si="0"/>
        <v>#REF!</v>
      </c>
      <c r="I33" s="23" t="e">
        <f t="shared" ca="1" si="0"/>
        <v>#REF!</v>
      </c>
      <c r="N33" s="33"/>
    </row>
    <row r="34" spans="2:18" x14ac:dyDescent="0.3">
      <c r="B34" s="32"/>
      <c r="C34" s="6" t="s">
        <v>46</v>
      </c>
      <c r="D34" s="24">
        <f>M23</f>
        <v>0</v>
      </c>
      <c r="N34" s="33"/>
    </row>
    <row r="35" spans="2:18" x14ac:dyDescent="0.3">
      <c r="B35" s="32"/>
      <c r="C35" s="7" t="s">
        <v>47</v>
      </c>
      <c r="D35" s="23" t="e">
        <f ca="1">D33/(1+D34)</f>
        <v>#REF!</v>
      </c>
      <c r="E35" s="23" t="e">
        <f t="shared" ref="E35:H35" ca="1" si="1">E33/(1+E34)</f>
        <v>#REF!</v>
      </c>
      <c r="F35" s="23" t="e">
        <f t="shared" ca="1" si="1"/>
        <v>#REF!</v>
      </c>
      <c r="G35" s="23" t="e">
        <f t="shared" ca="1" si="1"/>
        <v>#REF!</v>
      </c>
      <c r="H35" s="23" t="e">
        <f t="shared" ca="1" si="1"/>
        <v>#REF!</v>
      </c>
      <c r="I35" s="23" t="e" cm="1">
        <f t="array" aca="1" ref="I35" ca="1">I33/(M23-g)</f>
        <v>#REF!</v>
      </c>
      <c r="N35" s="33"/>
    </row>
    <row r="36" spans="2:18" x14ac:dyDescent="0.3">
      <c r="B36" s="32"/>
      <c r="N36" s="33"/>
    </row>
    <row r="37" spans="2:18" x14ac:dyDescent="0.3">
      <c r="B37" s="32"/>
      <c r="C37" s="25" t="s">
        <v>48</v>
      </c>
      <c r="D37" s="26"/>
      <c r="E37" s="27" t="e">
        <f ca="1">SUM(D35:I35)</f>
        <v>#REF!</v>
      </c>
      <c r="N37" s="33"/>
    </row>
    <row r="38" spans="2:18" x14ac:dyDescent="0.3">
      <c r="B38" s="32"/>
      <c r="C38" t="s">
        <v>19</v>
      </c>
      <c r="N38" s="33"/>
    </row>
    <row r="39" spans="2:18" x14ac:dyDescent="0.3">
      <c r="B39" s="32"/>
      <c r="C39" t="s">
        <v>49</v>
      </c>
      <c r="N39" s="33"/>
    </row>
    <row r="40" spans="2:18" x14ac:dyDescent="0.3">
      <c r="B40" s="32"/>
      <c r="C40" s="25" t="s">
        <v>50</v>
      </c>
      <c r="D40" s="26"/>
      <c r="E40" s="27" t="e">
        <f ca="1">E37-E38+E39</f>
        <v>#REF!</v>
      </c>
      <c r="N40" s="33"/>
    </row>
    <row r="41" spans="2:18" ht="17.25" thickBot="1" x14ac:dyDescent="0.35">
      <c r="B41" s="32"/>
      <c r="C41" t="s">
        <v>51</v>
      </c>
      <c r="L41" s="5" t="s">
        <v>55</v>
      </c>
      <c r="N41" s="33"/>
    </row>
    <row r="42" spans="2:18" ht="17.25" thickBot="1" x14ac:dyDescent="0.35">
      <c r="B42" s="36"/>
      <c r="C42" s="37" t="s">
        <v>52</v>
      </c>
      <c r="D42" s="38"/>
      <c r="E42" s="39" t="s">
        <v>53</v>
      </c>
      <c r="F42" s="40"/>
      <c r="G42" s="41" t="s">
        <v>56</v>
      </c>
      <c r="H42" s="41" t="s">
        <v>56</v>
      </c>
      <c r="I42" s="41" t="s">
        <v>56</v>
      </c>
      <c r="J42" s="40"/>
      <c r="K42" s="43"/>
      <c r="L42" s="11" t="s">
        <v>54</v>
      </c>
      <c r="M42" s="10">
        <v>30000</v>
      </c>
      <c r="N42" s="42"/>
    </row>
    <row r="43" spans="2:18" ht="18" thickTop="1" thickBot="1" x14ac:dyDescent="0.35">
      <c r="L43" s="12" t="s">
        <v>57</v>
      </c>
      <c r="M43" s="45">
        <v>28900</v>
      </c>
    </row>
    <row r="44" spans="2:18" ht="17.25" thickBot="1" x14ac:dyDescent="0.35">
      <c r="L44" s="11" t="s">
        <v>58</v>
      </c>
      <c r="M44" s="10">
        <v>29100</v>
      </c>
    </row>
    <row r="45" spans="2:18" ht="17.25" thickBot="1" x14ac:dyDescent="0.35">
      <c r="L45" s="11" t="s">
        <v>59</v>
      </c>
      <c r="M45" s="44">
        <v>30300</v>
      </c>
    </row>
    <row r="46" spans="2:18" ht="17.25" thickBot="1" x14ac:dyDescent="0.35">
      <c r="M46" s="9"/>
    </row>
    <row r="47" spans="2:18" ht="18" thickTop="1" thickBot="1" x14ac:dyDescent="0.35">
      <c r="L47" s="63" t="s">
        <v>61</v>
      </c>
    </row>
    <row r="48" spans="2:18" ht="17.25" thickTop="1" x14ac:dyDescent="0.3">
      <c r="L48" s="55"/>
      <c r="M48" s="56"/>
      <c r="N48" s="56"/>
      <c r="O48" s="56"/>
      <c r="P48" s="56"/>
      <c r="Q48" s="56"/>
      <c r="R48" s="57"/>
    </row>
    <row r="49" spans="12:18" x14ac:dyDescent="0.3">
      <c r="L49" s="58"/>
      <c r="M49" s="54"/>
      <c r="N49" s="54"/>
      <c r="O49" s="54"/>
      <c r="P49" s="54"/>
      <c r="Q49" s="54"/>
      <c r="R49" s="59"/>
    </row>
    <row r="50" spans="12:18" x14ac:dyDescent="0.3">
      <c r="L50" s="58"/>
      <c r="M50" s="54"/>
      <c r="N50" s="54"/>
      <c r="O50" s="54"/>
      <c r="P50" s="54"/>
      <c r="Q50" s="54"/>
      <c r="R50" s="59"/>
    </row>
    <row r="51" spans="12:18" x14ac:dyDescent="0.3">
      <c r="L51" s="58"/>
      <c r="M51" s="54"/>
      <c r="N51" s="54"/>
      <c r="O51" s="54"/>
      <c r="P51" s="54"/>
      <c r="Q51" s="54"/>
      <c r="R51" s="59"/>
    </row>
    <row r="52" spans="12:18" x14ac:dyDescent="0.3">
      <c r="L52" s="58"/>
      <c r="M52" s="54"/>
      <c r="N52" s="54"/>
      <c r="O52" s="54"/>
      <c r="P52" s="54"/>
      <c r="Q52" s="54"/>
      <c r="R52" s="59"/>
    </row>
    <row r="53" spans="12:18" x14ac:dyDescent="0.3">
      <c r="L53" s="58"/>
      <c r="M53" s="54"/>
      <c r="N53" s="54"/>
      <c r="O53" s="54"/>
      <c r="P53" s="54"/>
      <c r="Q53" s="54"/>
      <c r="R53" s="59"/>
    </row>
    <row r="54" spans="12:18" x14ac:dyDescent="0.3">
      <c r="L54" s="58"/>
      <c r="M54" s="54"/>
      <c r="N54" s="54"/>
      <c r="O54" s="54"/>
      <c r="P54" s="54"/>
      <c r="Q54" s="54"/>
      <c r="R54" s="59"/>
    </row>
    <row r="55" spans="12:18" x14ac:dyDescent="0.3">
      <c r="L55" s="58"/>
      <c r="M55" s="54"/>
      <c r="N55" s="54"/>
      <c r="O55" s="54"/>
      <c r="P55" s="54"/>
      <c r="Q55" s="54"/>
      <c r="R55" s="59"/>
    </row>
    <row r="56" spans="12:18" x14ac:dyDescent="0.3">
      <c r="L56" s="58"/>
      <c r="M56" s="54"/>
      <c r="N56" s="54"/>
      <c r="O56" s="54"/>
      <c r="P56" s="54"/>
      <c r="Q56" s="54"/>
      <c r="R56" s="59"/>
    </row>
    <row r="57" spans="12:18" ht="17.25" thickBot="1" x14ac:dyDescent="0.35">
      <c r="L57" s="60"/>
      <c r="M57" s="61"/>
      <c r="N57" s="61"/>
      <c r="O57" s="61"/>
      <c r="P57" s="61"/>
      <c r="Q57" s="61"/>
      <c r="R57" s="62"/>
    </row>
    <row r="58" spans="12:18" ht="17.25" thickTop="1" x14ac:dyDescent="0.3"/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8DEB-7688-4D73-85BC-E13FCF01AD24}">
  <dimension ref="A2:P27"/>
  <sheetViews>
    <sheetView showGridLines="0" zoomScale="70" zoomScaleNormal="70" workbookViewId="0">
      <selection activeCell="G40" sqref="G40"/>
    </sheetView>
  </sheetViews>
  <sheetFormatPr defaultRowHeight="16.5" x14ac:dyDescent="0.3"/>
  <cols>
    <col min="2" max="2" width="17.125" customWidth="1"/>
    <col min="3" max="3" width="33.875" bestFit="1" customWidth="1"/>
    <col min="4" max="4" width="12.125" bestFit="1" customWidth="1"/>
    <col min="5" max="5" width="16.125" bestFit="1" customWidth="1"/>
    <col min="6" max="6" width="15.5" bestFit="1" customWidth="1"/>
    <col min="7" max="7" width="20.125" customWidth="1"/>
    <col min="8" max="8" width="9.125" customWidth="1"/>
    <col min="11" max="11" width="11.875" bestFit="1" customWidth="1"/>
    <col min="12" max="12" width="11.875" style="2" customWidth="1"/>
    <col min="13" max="13" width="16.125" bestFit="1" customWidth="1"/>
    <col min="14" max="14" width="15.5" bestFit="1" customWidth="1"/>
    <col min="15" max="15" width="21.75" bestFit="1" customWidth="1"/>
  </cols>
  <sheetData>
    <row r="2" spans="2:16" ht="17.25" thickBot="1" x14ac:dyDescent="0.35"/>
    <row r="3" spans="2:16" ht="17.25" thickBot="1" x14ac:dyDescent="0.35">
      <c r="F3" s="47" t="s">
        <v>10</v>
      </c>
      <c r="J3" s="47" t="s">
        <v>10</v>
      </c>
      <c r="L3"/>
      <c r="N3" s="100"/>
    </row>
    <row r="4" spans="2:16" ht="17.25" thickBot="1" x14ac:dyDescent="0.35">
      <c r="B4" s="4"/>
      <c r="C4" s="4" t="s">
        <v>8</v>
      </c>
      <c r="D4" s="4" t="s">
        <v>7</v>
      </c>
      <c r="E4" s="4" t="s">
        <v>5</v>
      </c>
      <c r="F4" s="47" t="s">
        <v>6</v>
      </c>
      <c r="G4" s="4" t="s">
        <v>9</v>
      </c>
      <c r="H4" s="1"/>
      <c r="J4" s="4"/>
      <c r="K4" s="4" t="s">
        <v>8</v>
      </c>
      <c r="L4" s="4" t="s">
        <v>7</v>
      </c>
      <c r="M4" s="4" t="s">
        <v>5</v>
      </c>
      <c r="N4" s="4" t="s">
        <v>5</v>
      </c>
      <c r="O4" s="4" t="s">
        <v>9</v>
      </c>
      <c r="P4" s="1"/>
    </row>
    <row r="5" spans="2:16" x14ac:dyDescent="0.3">
      <c r="B5" s="4" t="s">
        <v>0</v>
      </c>
      <c r="F5" s="50" t="s">
        <v>11</v>
      </c>
      <c r="J5" s="4" t="s">
        <v>0</v>
      </c>
      <c r="K5" s="102" t="s">
        <v>11</v>
      </c>
      <c r="L5" s="52" t="s">
        <v>12</v>
      </c>
      <c r="M5" s="102" t="s">
        <v>11</v>
      </c>
      <c r="N5" s="52" t="s">
        <v>12</v>
      </c>
      <c r="O5" s="102" t="s">
        <v>11</v>
      </c>
    </row>
    <row r="6" spans="2:16" x14ac:dyDescent="0.3">
      <c r="B6" s="4" t="s">
        <v>1</v>
      </c>
      <c r="F6" s="52" t="s">
        <v>12</v>
      </c>
      <c r="J6" s="4" t="s">
        <v>1</v>
      </c>
      <c r="K6" s="52" t="s">
        <v>12</v>
      </c>
      <c r="L6" s="52" t="s">
        <v>13</v>
      </c>
      <c r="M6" s="52" t="s">
        <v>12</v>
      </c>
      <c r="N6" s="52" t="s">
        <v>13</v>
      </c>
      <c r="O6" s="52" t="s">
        <v>12</v>
      </c>
    </row>
    <row r="7" spans="2:16" x14ac:dyDescent="0.3">
      <c r="B7" s="4" t="s">
        <v>2</v>
      </c>
      <c r="F7" s="52" t="s">
        <v>13</v>
      </c>
      <c r="J7" s="4" t="s">
        <v>2</v>
      </c>
      <c r="K7" s="52" t="s">
        <v>13</v>
      </c>
      <c r="L7" s="102" t="s">
        <v>15</v>
      </c>
      <c r="M7" s="52" t="s">
        <v>13</v>
      </c>
      <c r="N7" s="101" t="s">
        <v>14</v>
      </c>
      <c r="O7" s="52" t="s">
        <v>13</v>
      </c>
    </row>
    <row r="8" spans="2:16" x14ac:dyDescent="0.3">
      <c r="B8" s="4" t="s">
        <v>3</v>
      </c>
      <c r="F8" s="52" t="s">
        <v>14</v>
      </c>
      <c r="G8" s="53"/>
      <c r="J8" s="4" t="s">
        <v>3</v>
      </c>
      <c r="K8" s="102" t="s">
        <v>14</v>
      </c>
      <c r="L8" s="102" t="s">
        <v>86</v>
      </c>
      <c r="M8" s="102" t="s">
        <v>87</v>
      </c>
      <c r="N8" s="101" t="s">
        <v>89</v>
      </c>
      <c r="O8" s="102" t="s">
        <v>14</v>
      </c>
    </row>
    <row r="9" spans="2:16" ht="17.25" thickBot="1" x14ac:dyDescent="0.35">
      <c r="B9" s="4" t="s">
        <v>4</v>
      </c>
      <c r="F9" s="51" t="s">
        <v>15</v>
      </c>
      <c r="J9" s="4" t="s">
        <v>4</v>
      </c>
      <c r="K9" s="102" t="s">
        <v>15</v>
      </c>
      <c r="L9" s="102" t="s">
        <v>87</v>
      </c>
      <c r="M9" s="102" t="s">
        <v>88</v>
      </c>
      <c r="N9" s="101" t="s">
        <v>90</v>
      </c>
      <c r="O9" s="102" t="s">
        <v>91</v>
      </c>
    </row>
    <row r="10" spans="2:16" x14ac:dyDescent="0.3">
      <c r="B10" s="1"/>
      <c r="C10" s="2"/>
      <c r="D10" s="2"/>
      <c r="E10" s="2"/>
      <c r="F10" s="3"/>
      <c r="G10" s="2"/>
      <c r="H10" s="2"/>
      <c r="J10" s="1"/>
      <c r="K10" s="2"/>
      <c r="M10" s="2"/>
      <c r="N10" s="3"/>
      <c r="O10" s="2"/>
      <c r="P10" s="2"/>
    </row>
    <row r="11" spans="2:16" x14ac:dyDescent="0.3">
      <c r="G11" s="2"/>
    </row>
    <row r="12" spans="2:16" ht="17.25" thickBot="1" x14ac:dyDescent="0.35">
      <c r="B12" s="16"/>
      <c r="C12" s="13" t="s">
        <v>45</v>
      </c>
      <c r="D12" s="13" t="s">
        <v>38</v>
      </c>
      <c r="E12" s="13" t="s">
        <v>74</v>
      </c>
      <c r="F12" s="13" t="s">
        <v>76</v>
      </c>
      <c r="G12" s="84"/>
      <c r="H12" s="16"/>
      <c r="I12" s="13" t="s">
        <v>52</v>
      </c>
      <c r="J12" s="13" t="s">
        <v>75</v>
      </c>
      <c r="K12" s="13" t="s">
        <v>77</v>
      </c>
      <c r="L12" s="84"/>
      <c r="M12" s="16"/>
      <c r="N12" s="13" t="s">
        <v>52</v>
      </c>
      <c r="O12" s="13" t="s">
        <v>83</v>
      </c>
      <c r="P12" s="13" t="s">
        <v>59</v>
      </c>
    </row>
    <row r="13" spans="2:16" x14ac:dyDescent="0.3">
      <c r="B13" s="50" t="s">
        <v>11</v>
      </c>
      <c r="G13" s="2"/>
    </row>
    <row r="14" spans="2:16" x14ac:dyDescent="0.3">
      <c r="B14" s="52" t="s">
        <v>12</v>
      </c>
      <c r="G14" s="2"/>
    </row>
    <row r="15" spans="2:16" x14ac:dyDescent="0.3">
      <c r="B15" s="52" t="s">
        <v>13</v>
      </c>
      <c r="G15" s="2"/>
    </row>
    <row r="16" spans="2:16" x14ac:dyDescent="0.3">
      <c r="B16" s="52" t="s">
        <v>14</v>
      </c>
      <c r="G16" s="2"/>
    </row>
    <row r="17" spans="1:16" ht="17.25" thickBot="1" x14ac:dyDescent="0.35">
      <c r="B17" s="51" t="s">
        <v>15</v>
      </c>
      <c r="C17" s="66"/>
      <c r="D17" s="66"/>
      <c r="E17" s="66"/>
      <c r="G17" s="2"/>
      <c r="H17" s="66"/>
      <c r="I17" s="66"/>
      <c r="J17" s="66"/>
      <c r="M17" s="66"/>
      <c r="N17" s="66"/>
      <c r="O17" s="66"/>
    </row>
    <row r="18" spans="1:16" x14ac:dyDescent="0.3">
      <c r="B18" s="65" t="s">
        <v>22</v>
      </c>
      <c r="C18" s="66"/>
      <c r="D18" s="66"/>
      <c r="E18" s="66"/>
      <c r="F18" s="85"/>
      <c r="G18" s="88"/>
      <c r="H18" s="65" t="s">
        <v>22</v>
      </c>
      <c r="I18" s="66"/>
      <c r="J18" s="66"/>
      <c r="K18" s="85"/>
      <c r="L18" s="88"/>
      <c r="M18" s="65" t="s">
        <v>22</v>
      </c>
      <c r="N18" s="66"/>
      <c r="O18" s="66"/>
      <c r="P18" s="85"/>
    </row>
    <row r="19" spans="1:16" ht="17.25" thickBot="1" x14ac:dyDescent="0.35">
      <c r="B19" s="17" t="s">
        <v>23</v>
      </c>
      <c r="F19" s="86"/>
      <c r="G19" s="88"/>
      <c r="H19" s="17" t="s">
        <v>23</v>
      </c>
      <c r="K19" s="87"/>
      <c r="L19" s="88"/>
      <c r="M19" s="17" t="s">
        <v>23</v>
      </c>
      <c r="P19" s="86"/>
    </row>
    <row r="20" spans="1:16" ht="17.25" thickBot="1" x14ac:dyDescent="0.35">
      <c r="B20" s="18" t="s">
        <v>10</v>
      </c>
      <c r="C20" s="19"/>
      <c r="D20" s="19"/>
      <c r="E20" s="19"/>
      <c r="F20" s="90" t="s">
        <v>11</v>
      </c>
      <c r="G20" s="88"/>
      <c r="H20" s="18" t="s">
        <v>10</v>
      </c>
      <c r="I20" s="19"/>
      <c r="J20" s="19"/>
      <c r="K20" s="90" t="s">
        <v>11</v>
      </c>
      <c r="L20" s="88"/>
      <c r="M20" s="18" t="s">
        <v>10</v>
      </c>
      <c r="N20" s="19"/>
      <c r="O20" s="19"/>
      <c r="P20" s="90" t="s">
        <v>11</v>
      </c>
    </row>
    <row r="21" spans="1:16" ht="17.25" thickBot="1" x14ac:dyDescent="0.35">
      <c r="A21" s="5"/>
      <c r="B21" s="28" t="s">
        <v>78</v>
      </c>
      <c r="C21" s="94"/>
      <c r="D21" s="94"/>
      <c r="E21" s="95" t="s">
        <v>12</v>
      </c>
      <c r="F21" s="28"/>
      <c r="G21" s="96"/>
      <c r="H21" s="94" t="s">
        <v>78</v>
      </c>
      <c r="I21" s="94"/>
      <c r="J21" s="95" t="s">
        <v>12</v>
      </c>
      <c r="K21" s="28"/>
      <c r="L21" s="89"/>
      <c r="M21" s="94" t="s">
        <v>78</v>
      </c>
      <c r="N21" s="94"/>
      <c r="O21" s="95" t="s">
        <v>12</v>
      </c>
      <c r="P21" s="93"/>
    </row>
    <row r="22" spans="1:16" x14ac:dyDescent="0.3">
      <c r="G22" s="2"/>
    </row>
    <row r="23" spans="1:16" ht="17.25" thickBot="1" x14ac:dyDescent="0.35">
      <c r="B23" s="5" t="s">
        <v>55</v>
      </c>
      <c r="G23" s="2"/>
    </row>
    <row r="24" spans="1:16" ht="17.25" thickBot="1" x14ac:dyDescent="0.35">
      <c r="B24" s="8" t="s">
        <v>57</v>
      </c>
      <c r="C24" s="92" t="s">
        <v>82</v>
      </c>
      <c r="G24" s="2"/>
    </row>
    <row r="25" spans="1:16" ht="17.25" thickBot="1" x14ac:dyDescent="0.35">
      <c r="B25" s="97" t="s">
        <v>79</v>
      </c>
      <c r="C25" s="91" t="s">
        <v>81</v>
      </c>
    </row>
    <row r="26" spans="1:16" ht="17.25" thickBot="1" x14ac:dyDescent="0.35">
      <c r="B26" s="8" t="s">
        <v>80</v>
      </c>
      <c r="C26" s="91" t="s">
        <v>81</v>
      </c>
    </row>
    <row r="27" spans="1:16" ht="17.25" thickBot="1" x14ac:dyDescent="0.35">
      <c r="B27" s="8" t="s">
        <v>84</v>
      </c>
      <c r="C27" s="9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dcf</vt:lpstr>
      <vt:lpstr>multiple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2026-05-09T07:44:37Z</dcterms:created>
  <dcterms:modified xsi:type="dcterms:W3CDTF">2026-05-13T06:59:16Z</dcterms:modified>
</cp:coreProperties>
</file>