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filmn9\"/>
    </mc:Choice>
  </mc:AlternateContent>
  <xr:revisionPtr revIDLastSave="0" documentId="8_{558148B1-A482-48C6-B7B6-71F3DC87EE92}" xr6:coauthVersionLast="47" xr6:coauthVersionMax="47" xr10:uidLastSave="{00000000-0000-0000-0000-000000000000}"/>
  <bookViews>
    <workbookView xWindow="7365" yWindow="1260" windowWidth="17025" windowHeight="13800" xr2:uid="{08911B2F-70D4-4FE3-9BDD-274823C53F13}"/>
  </bookViews>
  <sheets>
    <sheet name="현대건설" sheetId="1" r:id="rId1"/>
    <sheet name="원익IPS" sheetId="2" r:id="rId2"/>
    <sheet name="아모레퍼시픽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3" i="2"/>
  <c r="B3" i="1"/>
</calcChain>
</file>

<file path=xl/sharedStrings.xml><?xml version="1.0" encoding="utf-8"?>
<sst xmlns="http://schemas.openxmlformats.org/spreadsheetml/2006/main" count="225" uniqueCount="142">
  <si>
    <t>연결 재무상태표</t>
  </si>
  <si>
    <t>제 76 기          2025.12.31 현재</t>
  </si>
  <si>
    <t>제 75 기          2024.12.31 현재</t>
  </si>
  <si>
    <t>제 74 기          2023.12.31 현재</t>
  </si>
  <si>
    <t>(단위 : 백만원)</t>
  </si>
  <si>
    <t>제 76 기</t>
  </si>
  <si>
    <t>제 75 기</t>
  </si>
  <si>
    <t>제 74 기</t>
  </si>
  <si>
    <t>자산</t>
  </si>
  <si>
    <t>　유동자산</t>
  </si>
  <si>
    <t>　　현금및현금성자산</t>
  </si>
  <si>
    <t>　　단기금융상품</t>
  </si>
  <si>
    <t>　　매출채권</t>
  </si>
  <si>
    <t>　　기타 유동채권</t>
  </si>
  <si>
    <t>　　미청구공사</t>
  </si>
  <si>
    <t>　　상각후원가측정금융자산</t>
  </si>
  <si>
    <t>　　파생상품자산</t>
  </si>
  <si>
    <t>　　재고자산</t>
  </si>
  <si>
    <t>　　법인세자산</t>
  </si>
  <si>
    <t>　　기타유동자산</t>
  </si>
  <si>
    <t>　　매각예정처분집단의자산</t>
  </si>
  <si>
    <t>　비유동자산</t>
  </si>
  <si>
    <t>　　장기금융상품</t>
  </si>
  <si>
    <t>　　장기미수채권</t>
  </si>
  <si>
    <t>　　장기성기타채권</t>
  </si>
  <si>
    <t>　　기타포괄손익인식금융자산</t>
  </si>
  <si>
    <t>　　당기손익-공정가치 측정 금융자산</t>
  </si>
  <si>
    <t>　　지분법적용 투자지분</t>
  </si>
  <si>
    <t>　　투자부동산</t>
  </si>
  <si>
    <t>　　유형자산</t>
  </si>
  <si>
    <t>　　사용권자산</t>
  </si>
  <si>
    <t>　　무형자산</t>
  </si>
  <si>
    <t>　　이연법인세자산</t>
  </si>
  <si>
    <t>　　기타비유동자산</t>
  </si>
  <si>
    <t>　자산총계</t>
  </si>
  <si>
    <t>부채</t>
  </si>
  <si>
    <t>　유동부채</t>
  </si>
  <si>
    <t>　　매입채무</t>
  </si>
  <si>
    <t>　　기타채무</t>
  </si>
  <si>
    <t>　　공사및분양선수금</t>
  </si>
  <si>
    <t>　　초과청구공사</t>
  </si>
  <si>
    <t>　　단기차입금</t>
  </si>
  <si>
    <t>　　유동성장기부채</t>
  </si>
  <si>
    <t>　　파생상품부채</t>
  </si>
  <si>
    <t>　　법인세부채</t>
  </si>
  <si>
    <t>　　유동성충당부채</t>
  </si>
  <si>
    <t>　　기타금융부채(유동)</t>
  </si>
  <si>
    <t>　　유동 리스부채</t>
  </si>
  <si>
    <t>　　기타 유동부채</t>
  </si>
  <si>
    <t>　비유동부채</t>
  </si>
  <si>
    <t>　　장기성기타채무</t>
  </si>
  <si>
    <t>　　비유동성 사채</t>
  </si>
  <si>
    <t>　　장기차입금</t>
  </si>
  <si>
    <t>　　비유동파생상품부채</t>
  </si>
  <si>
    <t>　　순확정급여부채</t>
  </si>
  <si>
    <t>　　기타장기종업원급여충당부채</t>
  </si>
  <si>
    <t>　　비유동충당부채</t>
  </si>
  <si>
    <t>　　기타금융부채(비유동)</t>
  </si>
  <si>
    <t>　　리스부채</t>
  </si>
  <si>
    <t>　　기타 비유동 부채</t>
  </si>
  <si>
    <t>　　이연법인세부채</t>
  </si>
  <si>
    <t>　부채총계</t>
  </si>
  <si>
    <t>자본</t>
  </si>
  <si>
    <t>　지배기업의 소유주에게 귀속되는 자본</t>
  </si>
  <si>
    <t>　　자본금</t>
  </si>
  <si>
    <t>　　기타불입자본</t>
  </si>
  <si>
    <t>　　기타자본구성요소</t>
  </si>
  <si>
    <t>　　이익잉여금</t>
  </si>
  <si>
    <t>　비지배지분</t>
  </si>
  <si>
    <t>　자본총계</t>
  </si>
  <si>
    <t>자본과부채총계</t>
  </si>
  <si>
    <t>ibd</t>
  </si>
  <si>
    <t>ibd</t>
    <phoneticPr fontId="1" type="noConversion"/>
  </si>
  <si>
    <t>(단위: 백만원)</t>
    <phoneticPr fontId="1" type="noConversion"/>
  </si>
  <si>
    <t>제 10 기          2025.12.31 현재</t>
  </si>
  <si>
    <t>제 9 기          2024.12.31 현재</t>
  </si>
  <si>
    <t>제 8 기          2023.12.31 현재</t>
  </si>
  <si>
    <t>(단위 : 원)</t>
  </si>
  <si>
    <t>제 10 기</t>
  </si>
  <si>
    <t>제 9 기</t>
  </si>
  <si>
    <t>제 8 기</t>
  </si>
  <si>
    <t>　　매출채권및기타유동채권</t>
  </si>
  <si>
    <t>　　유동계약자산</t>
  </si>
  <si>
    <t>　　기타유동금융자산</t>
  </si>
  <si>
    <t>　　유동 당기손익인식금융자산</t>
  </si>
  <si>
    <t>　　당기법인세자산</t>
  </si>
  <si>
    <t>　　비유동계약자산</t>
  </si>
  <si>
    <t>　　기타비유동금융자산</t>
  </si>
  <si>
    <t>　　비유동 당기손익인식금융자산</t>
  </si>
  <si>
    <t>　　순이연법인세자산</t>
  </si>
  <si>
    <t>　　매입채무및기타유동채무</t>
  </si>
  <si>
    <t>　　유동계약부채</t>
  </si>
  <si>
    <t>　　기타유동부채</t>
  </si>
  <si>
    <t>　　유동품질보증충당부채</t>
  </si>
  <si>
    <t>　　유동리스부채</t>
  </si>
  <si>
    <t>　　당기법인세부채</t>
  </si>
  <si>
    <t>　　매입채무 및 기타비유동채무</t>
  </si>
  <si>
    <t>　　기타비유동금융부채</t>
  </si>
  <si>
    <t>　　기타장기종업원급여부채</t>
  </si>
  <si>
    <t>　　비유동리스부채</t>
  </si>
  <si>
    <t>　　자본잉여금</t>
  </si>
  <si>
    <t>　　기타자본</t>
  </si>
  <si>
    <t>　　기타포괄손익누계액</t>
  </si>
  <si>
    <t>　　비지배지분</t>
  </si>
  <si>
    <t>부채와 자본총계</t>
  </si>
  <si>
    <t>금융부채의 공시</t>
  </si>
  <si>
    <t>당기</t>
  </si>
  <si>
    <t>(단위 : 천원)</t>
  </si>
  <si>
    <t>금융부채</t>
  </si>
  <si>
    <t>금융부채, 공정가치</t>
  </si>
  <si>
    <t>금융부채, 분류 </t>
  </si>
  <si>
    <t>매입채무및기타채무 </t>
  </si>
  <si>
    <t>기타금융부채 </t>
  </si>
  <si>
    <t>금융부채, 분류  합계</t>
  </si>
  <si>
    <t>금융부채의 범주별 공시</t>
  </si>
  <si>
    <t>상각후원가로 측정하는 금융부채, 분류</t>
  </si>
  <si>
    <t>매입채무 및 기타 채무</t>
  </si>
  <si>
    <t>종업원 관련 부채 이외의 매입채무및기타유동채무</t>
  </si>
  <si>
    <t>매입채무 및 기타비유동채무</t>
  </si>
  <si>
    <t>기타비유동금융부채</t>
  </si>
  <si>
    <t>제 20 기          2025.12.31 현재</t>
  </si>
  <si>
    <t>제 19 기          2024.12.31 현재</t>
  </si>
  <si>
    <t>제 18 기          2023.12.31 현재</t>
  </si>
  <si>
    <t>제 20 기</t>
  </si>
  <si>
    <t>제 19 기</t>
  </si>
  <si>
    <t>제 18 기</t>
  </si>
  <si>
    <t>　　금융기관예치금</t>
  </si>
  <si>
    <t>　　당기손익-공정가치측정금융자산</t>
  </si>
  <si>
    <t>　　기타수취채권</t>
  </si>
  <si>
    <t>　　기타포괄손익-공정가치측정금융자산</t>
  </si>
  <si>
    <t>　　관계기업투자주식</t>
  </si>
  <si>
    <t>　　순확정급여자산</t>
  </si>
  <si>
    <t>　　기타지급채무</t>
  </si>
  <si>
    <t>　　계약부채</t>
  </si>
  <si>
    <t>　　기타충당부채</t>
  </si>
  <si>
    <t>　　리스유동부채</t>
  </si>
  <si>
    <t>　　리스비유동부채</t>
  </si>
  <si>
    <t>　　기타비유동부채</t>
  </si>
  <si>
    <t>　　주식발행초과금</t>
  </si>
  <si>
    <t>　비지배주주지분</t>
  </si>
  <si>
    <t>부채와자본총계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</si>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</sst>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10"/>
      <color rgb="FF000000"/>
      <name val="맑은 고딕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right" vertical="center" wrapText="1"/>
    </xf>
    <xf numFmtId="3" fontId="2" fillId="0" borderId="6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vertical="center" wrapText="1"/>
    </xf>
    <xf numFmtId="3" fontId="2" fillId="0" borderId="8" xfId="0" applyNumberFormat="1" applyFont="1" applyBorder="1" applyAlignment="1">
      <alignment horizontal="right" vertical="center" wrapText="1"/>
    </xf>
    <xf numFmtId="3" fontId="2" fillId="0" borderId="9" xfId="0" applyNumberFormat="1" applyFont="1" applyBorder="1" applyAlignment="1">
      <alignment horizontal="right" vertical="center" wrapText="1"/>
    </xf>
    <xf numFmtId="0" fontId="4" fillId="3" borderId="10" xfId="1" applyFont="1" applyFill="1" applyBorder="1" applyAlignment="1">
      <alignment horizontal="center"/>
    </xf>
    <xf numFmtId="3" fontId="4" fillId="0" borderId="11" xfId="1" applyNumberFormat="1" applyFont="1" applyBorder="1"/>
    <xf numFmtId="3" fontId="4" fillId="0" borderId="0" xfId="1" applyNumberFormat="1" applyFont="1" applyBorder="1"/>
    <xf numFmtId="0" fontId="0" fillId="4" borderId="0" xfId="0" applyFill="1">
      <alignment vertical="center"/>
    </xf>
    <xf numFmtId="0" fontId="2" fillId="4" borderId="5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</cellXfs>
  <cellStyles count="2">
    <cellStyle name="표준" xfId="0" builtinId="0"/>
    <cellStyle name="표준 2" xfId="1" xr:uid="{A0079766-DA9C-4DFD-AF34-0C731DC1D6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4A2B-2077-4883-B7B7-F9C23010954F}">
  <dimension ref="A1:E76"/>
  <sheetViews>
    <sheetView tabSelected="1" topLeftCell="A13" workbookViewId="0">
      <selection activeCell="B3" sqref="B3"/>
    </sheetView>
  </sheetViews>
  <sheetFormatPr defaultRowHeight="16.5" x14ac:dyDescent="0.3"/>
  <cols>
    <col min="2" max="2" width="29" customWidth="1"/>
    <col min="3" max="3" width="17" customWidth="1"/>
    <col min="4" max="4" width="18.125" customWidth="1"/>
    <col min="5" max="5" width="15.625" customWidth="1"/>
  </cols>
  <sheetData>
    <row r="1" spans="2:5" x14ac:dyDescent="0.3">
      <c r="B1" s="21" t="s">
        <v>73</v>
      </c>
    </row>
    <row r="2" spans="2:5" x14ac:dyDescent="0.2">
      <c r="B2" s="15" t="s">
        <v>71</v>
      </c>
    </row>
    <row r="3" spans="2:5" x14ac:dyDescent="0.2">
      <c r="B3" s="16">
        <f>SUMIF(A:A,B2,C:C)</f>
        <v>3956919</v>
      </c>
    </row>
    <row r="4" spans="2:5" x14ac:dyDescent="0.2">
      <c r="B4" s="17"/>
    </row>
    <row r="5" spans="2:5" x14ac:dyDescent="0.2">
      <c r="B5" s="17"/>
    </row>
    <row r="6" spans="2:5" x14ac:dyDescent="0.3">
      <c r="B6" s="1" t="s">
        <v>0</v>
      </c>
    </row>
    <row r="7" spans="2:5" x14ac:dyDescent="0.3">
      <c r="B7" s="1" t="s">
        <v>1</v>
      </c>
    </row>
    <row r="8" spans="2:5" x14ac:dyDescent="0.3">
      <c r="B8" s="1" t="s">
        <v>2</v>
      </c>
    </row>
    <row r="9" spans="2:5" x14ac:dyDescent="0.3">
      <c r="B9" s="1" t="s">
        <v>3</v>
      </c>
    </row>
    <row r="10" spans="2:5" x14ac:dyDescent="0.15">
      <c r="B10" s="2" t="s">
        <v>4</v>
      </c>
    </row>
    <row r="11" spans="2:5" x14ac:dyDescent="0.3">
      <c r="B11" s="6"/>
      <c r="C11" s="7" t="s">
        <v>5</v>
      </c>
      <c r="D11" s="7" t="s">
        <v>6</v>
      </c>
      <c r="E11" s="8" t="s">
        <v>7</v>
      </c>
    </row>
    <row r="12" spans="2:5" x14ac:dyDescent="0.3">
      <c r="B12" s="9" t="s">
        <v>8</v>
      </c>
      <c r="C12" s="4"/>
      <c r="D12" s="4"/>
      <c r="E12" s="10"/>
    </row>
    <row r="13" spans="2:5" x14ac:dyDescent="0.3">
      <c r="B13" s="9" t="s">
        <v>9</v>
      </c>
      <c r="C13" s="5">
        <v>21958006</v>
      </c>
      <c r="D13" s="5">
        <v>21100663</v>
      </c>
      <c r="E13" s="11">
        <v>18613430</v>
      </c>
    </row>
    <row r="14" spans="2:5" x14ac:dyDescent="0.3">
      <c r="B14" s="9" t="s">
        <v>10</v>
      </c>
      <c r="C14" s="5">
        <v>4812659</v>
      </c>
      <c r="D14" s="5">
        <v>5130372</v>
      </c>
      <c r="E14" s="11">
        <v>4205665</v>
      </c>
    </row>
    <row r="15" spans="2:5" x14ac:dyDescent="0.3">
      <c r="B15" s="9" t="s">
        <v>11</v>
      </c>
      <c r="C15" s="5">
        <v>364101</v>
      </c>
      <c r="D15" s="5">
        <v>266002</v>
      </c>
      <c r="E15" s="11">
        <v>375802</v>
      </c>
    </row>
    <row r="16" spans="2:5" x14ac:dyDescent="0.3">
      <c r="B16" s="9" t="s">
        <v>12</v>
      </c>
      <c r="C16" s="5">
        <v>6842276</v>
      </c>
      <c r="D16" s="5">
        <v>5319211</v>
      </c>
      <c r="E16" s="11">
        <v>3378696</v>
      </c>
    </row>
    <row r="17" spans="2:5" x14ac:dyDescent="0.3">
      <c r="B17" s="9" t="s">
        <v>13</v>
      </c>
      <c r="C17" s="5">
        <v>2998552</v>
      </c>
      <c r="D17" s="5">
        <v>2534223</v>
      </c>
      <c r="E17" s="11">
        <v>2539151</v>
      </c>
    </row>
    <row r="18" spans="2:5" x14ac:dyDescent="0.3">
      <c r="B18" s="9" t="s">
        <v>14</v>
      </c>
      <c r="C18" s="5">
        <v>3937364</v>
      </c>
      <c r="D18" s="5">
        <v>4684982</v>
      </c>
      <c r="E18" s="11">
        <v>5335234</v>
      </c>
    </row>
    <row r="19" spans="2:5" x14ac:dyDescent="0.3">
      <c r="B19" s="9" t="s">
        <v>15</v>
      </c>
      <c r="C19" s="5">
        <v>1957</v>
      </c>
      <c r="D19" s="5">
        <v>10823</v>
      </c>
      <c r="E19" s="11">
        <v>1774</v>
      </c>
    </row>
    <row r="20" spans="2:5" x14ac:dyDescent="0.3">
      <c r="B20" s="9" t="s">
        <v>16</v>
      </c>
      <c r="C20" s="5">
        <v>58450</v>
      </c>
      <c r="D20" s="5">
        <v>46016</v>
      </c>
      <c r="E20" s="11">
        <v>55406</v>
      </c>
    </row>
    <row r="21" spans="2:5" x14ac:dyDescent="0.3">
      <c r="B21" s="9" t="s">
        <v>17</v>
      </c>
      <c r="C21" s="5">
        <v>747044</v>
      </c>
      <c r="D21" s="5">
        <v>776511</v>
      </c>
      <c r="E21" s="11">
        <v>815625</v>
      </c>
    </row>
    <row r="22" spans="2:5" x14ac:dyDescent="0.3">
      <c r="B22" s="9" t="s">
        <v>18</v>
      </c>
      <c r="C22" s="5">
        <v>7418</v>
      </c>
      <c r="D22" s="5">
        <v>29567</v>
      </c>
      <c r="E22" s="11">
        <v>6663</v>
      </c>
    </row>
    <row r="23" spans="2:5" x14ac:dyDescent="0.3">
      <c r="B23" s="9" t="s">
        <v>19</v>
      </c>
      <c r="C23" s="5">
        <v>2166515</v>
      </c>
      <c r="D23" s="5">
        <v>2287386</v>
      </c>
      <c r="E23" s="11">
        <v>1899414</v>
      </c>
    </row>
    <row r="24" spans="2:5" x14ac:dyDescent="0.3">
      <c r="B24" s="9" t="s">
        <v>20</v>
      </c>
      <c r="C24" s="5">
        <v>21670</v>
      </c>
      <c r="D24" s="5">
        <v>15570</v>
      </c>
      <c r="E24" s="10">
        <v>0</v>
      </c>
    </row>
    <row r="25" spans="2:5" x14ac:dyDescent="0.3">
      <c r="B25" s="9" t="s">
        <v>21</v>
      </c>
      <c r="C25" s="5">
        <v>5833702</v>
      </c>
      <c r="D25" s="5">
        <v>5904722</v>
      </c>
      <c r="E25" s="11">
        <v>5101065</v>
      </c>
    </row>
    <row r="26" spans="2:5" x14ac:dyDescent="0.3">
      <c r="B26" s="9" t="s">
        <v>22</v>
      </c>
      <c r="C26" s="5">
        <v>124186</v>
      </c>
      <c r="D26" s="5">
        <v>78378</v>
      </c>
      <c r="E26" s="11">
        <v>128752</v>
      </c>
    </row>
    <row r="27" spans="2:5" x14ac:dyDescent="0.3">
      <c r="B27" s="9" t="s">
        <v>23</v>
      </c>
      <c r="C27" s="5">
        <v>432482</v>
      </c>
      <c r="D27" s="5">
        <v>437193</v>
      </c>
      <c r="E27" s="11">
        <v>421304</v>
      </c>
    </row>
    <row r="28" spans="2:5" x14ac:dyDescent="0.3">
      <c r="B28" s="9" t="s">
        <v>24</v>
      </c>
      <c r="C28" s="5">
        <v>1202361</v>
      </c>
      <c r="D28" s="5">
        <v>1249642</v>
      </c>
      <c r="E28" s="11">
        <v>1088354</v>
      </c>
    </row>
    <row r="29" spans="2:5" x14ac:dyDescent="0.3">
      <c r="B29" s="9" t="s">
        <v>25</v>
      </c>
      <c r="C29" s="5">
        <v>24216</v>
      </c>
      <c r="D29" s="5">
        <v>24528</v>
      </c>
      <c r="E29" s="11">
        <v>74579</v>
      </c>
    </row>
    <row r="30" spans="2:5" ht="27" x14ac:dyDescent="0.3">
      <c r="B30" s="9" t="s">
        <v>26</v>
      </c>
      <c r="C30" s="5">
        <v>302375</v>
      </c>
      <c r="D30" s="5">
        <v>350082</v>
      </c>
      <c r="E30" s="11">
        <v>385188</v>
      </c>
    </row>
    <row r="31" spans="2:5" x14ac:dyDescent="0.3">
      <c r="B31" s="9" t="s">
        <v>15</v>
      </c>
      <c r="C31" s="5">
        <v>32351</v>
      </c>
      <c r="D31" s="5">
        <v>27321</v>
      </c>
      <c r="E31" s="11">
        <v>35359</v>
      </c>
    </row>
    <row r="32" spans="2:5" x14ac:dyDescent="0.3">
      <c r="B32" s="9" t="s">
        <v>27</v>
      </c>
      <c r="C32" s="5">
        <v>199713</v>
      </c>
      <c r="D32" s="5">
        <v>168064</v>
      </c>
      <c r="E32" s="11">
        <v>86608</v>
      </c>
    </row>
    <row r="33" spans="1:5" x14ac:dyDescent="0.3">
      <c r="B33" s="9" t="s">
        <v>16</v>
      </c>
      <c r="C33" s="5">
        <v>3963</v>
      </c>
      <c r="D33" s="4">
        <v>0</v>
      </c>
      <c r="E33" s="10">
        <v>29</v>
      </c>
    </row>
    <row r="34" spans="1:5" x14ac:dyDescent="0.3">
      <c r="B34" s="9" t="s">
        <v>28</v>
      </c>
      <c r="C34" s="5">
        <v>468131</v>
      </c>
      <c r="D34" s="5">
        <v>456522</v>
      </c>
      <c r="E34" s="11">
        <v>446367</v>
      </c>
    </row>
    <row r="35" spans="1:5" x14ac:dyDescent="0.3">
      <c r="B35" s="9" t="s">
        <v>29</v>
      </c>
      <c r="C35" s="5">
        <v>1225081</v>
      </c>
      <c r="D35" s="5">
        <v>1289154</v>
      </c>
      <c r="E35" s="11">
        <v>1204520</v>
      </c>
    </row>
    <row r="36" spans="1:5" x14ac:dyDescent="0.3">
      <c r="B36" s="9" t="s">
        <v>30</v>
      </c>
      <c r="C36" s="5">
        <v>116689</v>
      </c>
      <c r="D36" s="5">
        <v>118858</v>
      </c>
      <c r="E36" s="11">
        <v>104397</v>
      </c>
    </row>
    <row r="37" spans="1:5" x14ac:dyDescent="0.3">
      <c r="B37" s="9" t="s">
        <v>31</v>
      </c>
      <c r="C37" s="5">
        <v>764681</v>
      </c>
      <c r="D37" s="5">
        <v>750741</v>
      </c>
      <c r="E37" s="11">
        <v>724427</v>
      </c>
    </row>
    <row r="38" spans="1:5" x14ac:dyDescent="0.3">
      <c r="B38" s="9" t="s">
        <v>32</v>
      </c>
      <c r="C38" s="5">
        <v>772561</v>
      </c>
      <c r="D38" s="5">
        <v>717126</v>
      </c>
      <c r="E38" s="11">
        <v>232146</v>
      </c>
    </row>
    <row r="39" spans="1:5" x14ac:dyDescent="0.3">
      <c r="B39" s="9" t="s">
        <v>33</v>
      </c>
      <c r="C39" s="5">
        <v>164912</v>
      </c>
      <c r="D39" s="5">
        <v>237113</v>
      </c>
      <c r="E39" s="11">
        <v>169035</v>
      </c>
    </row>
    <row r="40" spans="1:5" x14ac:dyDescent="0.3">
      <c r="B40" s="9" t="s">
        <v>34</v>
      </c>
      <c r="C40" s="5">
        <v>27791708</v>
      </c>
      <c r="D40" s="5">
        <v>27005385</v>
      </c>
      <c r="E40" s="11">
        <v>23714495</v>
      </c>
    </row>
    <row r="41" spans="1:5" x14ac:dyDescent="0.3">
      <c r="B41" s="9" t="s">
        <v>35</v>
      </c>
      <c r="C41" s="4"/>
      <c r="D41" s="4"/>
      <c r="E41" s="10"/>
    </row>
    <row r="42" spans="1:5" x14ac:dyDescent="0.3">
      <c r="B42" s="9" t="s">
        <v>36</v>
      </c>
      <c r="C42" s="5">
        <v>14842910</v>
      </c>
      <c r="D42" s="5">
        <v>14663775</v>
      </c>
      <c r="E42" s="11">
        <v>10356647</v>
      </c>
    </row>
    <row r="43" spans="1:5" x14ac:dyDescent="0.3">
      <c r="B43" s="9" t="s">
        <v>37</v>
      </c>
      <c r="C43" s="5">
        <v>3966463</v>
      </c>
      <c r="D43" s="5">
        <v>4038662</v>
      </c>
      <c r="E43" s="11">
        <v>3959030</v>
      </c>
    </row>
    <row r="44" spans="1:5" x14ac:dyDescent="0.3">
      <c r="B44" s="9" t="s">
        <v>38</v>
      </c>
      <c r="C44" s="5">
        <v>3417622</v>
      </c>
      <c r="D44" s="5">
        <v>2304879</v>
      </c>
      <c r="E44" s="11">
        <v>1715265</v>
      </c>
    </row>
    <row r="45" spans="1:5" x14ac:dyDescent="0.3">
      <c r="B45" s="9" t="s">
        <v>39</v>
      </c>
      <c r="C45" s="5">
        <v>1286130</v>
      </c>
      <c r="D45" s="5">
        <v>1969441</v>
      </c>
      <c r="E45" s="11">
        <v>1506362</v>
      </c>
    </row>
    <row r="46" spans="1:5" x14ac:dyDescent="0.3">
      <c r="B46" s="9" t="s">
        <v>40</v>
      </c>
      <c r="C46" s="5">
        <v>3194368</v>
      </c>
      <c r="D46" s="5">
        <v>3470397</v>
      </c>
      <c r="E46" s="11">
        <v>1955657</v>
      </c>
    </row>
    <row r="47" spans="1:5" x14ac:dyDescent="0.3">
      <c r="A47" s="18" t="s">
        <v>72</v>
      </c>
      <c r="B47" s="19" t="s">
        <v>41</v>
      </c>
      <c r="C47" s="20">
        <v>1194728</v>
      </c>
      <c r="D47" s="5">
        <v>744668</v>
      </c>
      <c r="E47" s="11">
        <v>248744</v>
      </c>
    </row>
    <row r="48" spans="1:5" x14ac:dyDescent="0.3">
      <c r="A48" s="18" t="s">
        <v>72</v>
      </c>
      <c r="B48" s="19" t="s">
        <v>42</v>
      </c>
      <c r="C48" s="20">
        <v>929377</v>
      </c>
      <c r="D48" s="5">
        <v>975652</v>
      </c>
      <c r="E48" s="11">
        <v>280997</v>
      </c>
    </row>
    <row r="49" spans="1:5" x14ac:dyDescent="0.3">
      <c r="B49" s="9" t="s">
        <v>43</v>
      </c>
      <c r="C49" s="5">
        <v>13349</v>
      </c>
      <c r="D49" s="5">
        <v>15977</v>
      </c>
      <c r="E49" s="10">
        <v>527</v>
      </c>
    </row>
    <row r="50" spans="1:5" x14ac:dyDescent="0.3">
      <c r="B50" s="9" t="s">
        <v>44</v>
      </c>
      <c r="C50" s="5">
        <v>79914</v>
      </c>
      <c r="D50" s="5">
        <v>51164</v>
      </c>
      <c r="E50" s="11">
        <v>93683</v>
      </c>
    </row>
    <row r="51" spans="1:5" x14ac:dyDescent="0.3">
      <c r="B51" s="9" t="s">
        <v>45</v>
      </c>
      <c r="C51" s="5">
        <v>452584</v>
      </c>
      <c r="D51" s="5">
        <v>724708</v>
      </c>
      <c r="E51" s="11">
        <v>306189</v>
      </c>
    </row>
    <row r="52" spans="1:5" x14ac:dyDescent="0.3">
      <c r="B52" s="9" t="s">
        <v>46</v>
      </c>
      <c r="C52" s="5">
        <v>47759</v>
      </c>
      <c r="D52" s="5">
        <v>126986</v>
      </c>
      <c r="E52" s="11">
        <v>40829</v>
      </c>
    </row>
    <row r="53" spans="1:5" x14ac:dyDescent="0.3">
      <c r="A53" s="18" t="s">
        <v>72</v>
      </c>
      <c r="B53" s="19" t="s">
        <v>47</v>
      </c>
      <c r="C53" s="20">
        <v>84515</v>
      </c>
      <c r="D53" s="5">
        <v>69042</v>
      </c>
      <c r="E53" s="11">
        <v>73368</v>
      </c>
    </row>
    <row r="54" spans="1:5" x14ac:dyDescent="0.3">
      <c r="B54" s="9" t="s">
        <v>48</v>
      </c>
      <c r="C54" s="5">
        <v>176101</v>
      </c>
      <c r="D54" s="5">
        <v>172199</v>
      </c>
      <c r="E54" s="11">
        <v>175996</v>
      </c>
    </row>
    <row r="55" spans="1:5" x14ac:dyDescent="0.3">
      <c r="B55" s="9" t="s">
        <v>49</v>
      </c>
      <c r="C55" s="5">
        <v>2835933</v>
      </c>
      <c r="D55" s="5">
        <v>2672197</v>
      </c>
      <c r="E55" s="11">
        <v>2902333</v>
      </c>
    </row>
    <row r="56" spans="1:5" x14ac:dyDescent="0.3">
      <c r="B56" s="9" t="s">
        <v>50</v>
      </c>
      <c r="C56" s="5">
        <v>329019</v>
      </c>
      <c r="D56" s="5">
        <v>322773</v>
      </c>
      <c r="E56" s="11">
        <v>360027</v>
      </c>
    </row>
    <row r="57" spans="1:5" x14ac:dyDescent="0.3">
      <c r="A57" s="18" t="s">
        <v>72</v>
      </c>
      <c r="B57" s="19" t="s">
        <v>51</v>
      </c>
      <c r="C57" s="20">
        <v>1147227</v>
      </c>
      <c r="D57" s="5">
        <v>928047</v>
      </c>
      <c r="E57" s="11">
        <v>1207220</v>
      </c>
    </row>
    <row r="58" spans="1:5" x14ac:dyDescent="0.3">
      <c r="A58" s="18" t="s">
        <v>72</v>
      </c>
      <c r="B58" s="19" t="s">
        <v>52</v>
      </c>
      <c r="C58" s="20">
        <v>579678</v>
      </c>
      <c r="D58" s="5">
        <v>598212</v>
      </c>
      <c r="E58" s="11">
        <v>563609</v>
      </c>
    </row>
    <row r="59" spans="1:5" x14ac:dyDescent="0.3">
      <c r="B59" s="9" t="s">
        <v>53</v>
      </c>
      <c r="C59" s="4">
        <v>252</v>
      </c>
      <c r="D59" s="5">
        <v>1257</v>
      </c>
      <c r="E59" s="10">
        <v>0</v>
      </c>
    </row>
    <row r="60" spans="1:5" x14ac:dyDescent="0.3">
      <c r="B60" s="9" t="s">
        <v>54</v>
      </c>
      <c r="C60" s="4">
        <v>48</v>
      </c>
      <c r="D60" s="4">
        <v>55</v>
      </c>
      <c r="E60" s="10">
        <v>107</v>
      </c>
    </row>
    <row r="61" spans="1:5" x14ac:dyDescent="0.3">
      <c r="B61" s="9" t="s">
        <v>55</v>
      </c>
      <c r="C61" s="5">
        <v>94879</v>
      </c>
      <c r="D61" s="5">
        <v>70606</v>
      </c>
      <c r="E61" s="11">
        <v>50484</v>
      </c>
    </row>
    <row r="62" spans="1:5" x14ac:dyDescent="0.3">
      <c r="B62" s="9" t="s">
        <v>56</v>
      </c>
      <c r="C62" s="5">
        <v>499863</v>
      </c>
      <c r="D62" s="5">
        <v>483103</v>
      </c>
      <c r="E62" s="11">
        <v>515090</v>
      </c>
    </row>
    <row r="63" spans="1:5" x14ac:dyDescent="0.3">
      <c r="B63" s="9" t="s">
        <v>57</v>
      </c>
      <c r="C63" s="5">
        <v>76956</v>
      </c>
      <c r="D63" s="5">
        <v>143058</v>
      </c>
      <c r="E63" s="11">
        <v>105427</v>
      </c>
    </row>
    <row r="64" spans="1:5" x14ac:dyDescent="0.3">
      <c r="A64" s="18" t="s">
        <v>72</v>
      </c>
      <c r="B64" s="19" t="s">
        <v>58</v>
      </c>
      <c r="C64" s="20">
        <v>21394</v>
      </c>
      <c r="D64" s="5">
        <v>41479</v>
      </c>
      <c r="E64" s="11">
        <v>22737</v>
      </c>
    </row>
    <row r="65" spans="2:5" x14ac:dyDescent="0.3">
      <c r="B65" s="9" t="s">
        <v>59</v>
      </c>
      <c r="C65" s="5">
        <v>50708</v>
      </c>
      <c r="D65" s="5" t="s">
        <v>141</v>
      </c>
      <c r="E65" s="11">
        <v>57583</v>
      </c>
    </row>
    <row r="66" spans="2:5" x14ac:dyDescent="0.3">
      <c r="B66" s="9" t="s">
        <v>60</v>
      </c>
      <c r="C66" s="5">
        <v>35909</v>
      </c>
      <c r="D66" s="5">
        <v>31608</v>
      </c>
      <c r="E66" s="11">
        <v>20049</v>
      </c>
    </row>
    <row r="67" spans="2:5" x14ac:dyDescent="0.3">
      <c r="B67" s="9" t="s">
        <v>61</v>
      </c>
      <c r="C67" s="5">
        <v>17678843</v>
      </c>
      <c r="D67" s="5">
        <v>17335972</v>
      </c>
      <c r="E67" s="11">
        <v>13258980</v>
      </c>
    </row>
    <row r="68" spans="2:5" x14ac:dyDescent="0.3">
      <c r="B68" s="9" t="s">
        <v>62</v>
      </c>
      <c r="C68" s="4"/>
      <c r="D68" s="4"/>
      <c r="E68" s="10"/>
    </row>
    <row r="69" spans="2:5" ht="27" x14ac:dyDescent="0.3">
      <c r="B69" s="9" t="s">
        <v>63</v>
      </c>
      <c r="C69" s="5">
        <v>8264726</v>
      </c>
      <c r="D69" s="5">
        <v>8025410</v>
      </c>
      <c r="E69" s="11">
        <v>8136651</v>
      </c>
    </row>
    <row r="70" spans="2:5" x14ac:dyDescent="0.3">
      <c r="B70" s="9" t="s">
        <v>64</v>
      </c>
      <c r="C70" s="5">
        <v>562052</v>
      </c>
      <c r="D70" s="5">
        <v>562052</v>
      </c>
      <c r="E70" s="11">
        <v>562052</v>
      </c>
    </row>
    <row r="71" spans="2:5" x14ac:dyDescent="0.3">
      <c r="B71" s="9" t="s">
        <v>65</v>
      </c>
      <c r="C71" s="5">
        <v>1089599</v>
      </c>
      <c r="D71" s="5">
        <v>1089599</v>
      </c>
      <c r="E71" s="11">
        <v>1089613</v>
      </c>
    </row>
    <row r="72" spans="2:5" x14ac:dyDescent="0.3">
      <c r="B72" s="9" t="s">
        <v>66</v>
      </c>
      <c r="C72" s="5">
        <v>209736</v>
      </c>
      <c r="D72" s="5">
        <v>243529</v>
      </c>
      <c r="E72" s="11">
        <v>64766</v>
      </c>
    </row>
    <row r="73" spans="2:5" x14ac:dyDescent="0.3">
      <c r="B73" s="9" t="s">
        <v>67</v>
      </c>
      <c r="C73" s="5">
        <v>6403339</v>
      </c>
      <c r="D73" s="5">
        <v>6130230</v>
      </c>
      <c r="E73" s="11">
        <v>6420220</v>
      </c>
    </row>
    <row r="74" spans="2:5" x14ac:dyDescent="0.3">
      <c r="B74" s="9" t="s">
        <v>68</v>
      </c>
      <c r="C74" s="5">
        <v>1848139</v>
      </c>
      <c r="D74" s="5">
        <v>1644003</v>
      </c>
      <c r="E74" s="11">
        <v>2318864</v>
      </c>
    </row>
    <row r="75" spans="2:5" x14ac:dyDescent="0.3">
      <c r="B75" s="9" t="s">
        <v>69</v>
      </c>
      <c r="C75" s="5">
        <v>10112865</v>
      </c>
      <c r="D75" s="5">
        <v>9669413</v>
      </c>
      <c r="E75" s="11">
        <v>10455515</v>
      </c>
    </row>
    <row r="76" spans="2:5" x14ac:dyDescent="0.3">
      <c r="B76" s="12" t="s">
        <v>70</v>
      </c>
      <c r="C76" s="13">
        <v>27791708</v>
      </c>
      <c r="D76" s="13">
        <v>27005385</v>
      </c>
      <c r="E76" s="14">
        <v>23714495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8816-F674-42AB-BBED-9FF455AE8FC8}">
  <dimension ref="A1:E74"/>
  <sheetViews>
    <sheetView workbookViewId="0">
      <selection activeCell="B40" sqref="B40"/>
    </sheetView>
  </sheetViews>
  <sheetFormatPr defaultRowHeight="16.5" x14ac:dyDescent="0.3"/>
  <cols>
    <col min="2" max="2" width="29" customWidth="1"/>
    <col min="3" max="3" width="17" customWidth="1"/>
    <col min="4" max="4" width="18.125" customWidth="1"/>
    <col min="5" max="5" width="15.625" customWidth="1"/>
  </cols>
  <sheetData>
    <row r="1" spans="2:5" x14ac:dyDescent="0.3">
      <c r="B1" s="21" t="s">
        <v>73</v>
      </c>
    </row>
    <row r="2" spans="2:5" x14ac:dyDescent="0.2">
      <c r="B2" s="15" t="s">
        <v>71</v>
      </c>
    </row>
    <row r="3" spans="2:5" x14ac:dyDescent="0.2">
      <c r="B3" s="16">
        <f>SUMIF(A:A,B2,C:C)/10^6</f>
        <v>6159.2319799999996</v>
      </c>
    </row>
    <row r="4" spans="2:5" x14ac:dyDescent="0.2">
      <c r="B4" s="17"/>
    </row>
    <row r="5" spans="2:5" x14ac:dyDescent="0.2">
      <c r="B5" s="17"/>
    </row>
    <row r="6" spans="2:5" x14ac:dyDescent="0.3">
      <c r="B6" s="1" t="s">
        <v>0</v>
      </c>
    </row>
    <row r="7" spans="2:5" x14ac:dyDescent="0.3">
      <c r="B7" s="1" t="s">
        <v>74</v>
      </c>
    </row>
    <row r="8" spans="2:5" x14ac:dyDescent="0.3">
      <c r="B8" s="1" t="s">
        <v>75</v>
      </c>
    </row>
    <row r="9" spans="2:5" x14ac:dyDescent="0.3">
      <c r="B9" s="1" t="s">
        <v>76</v>
      </c>
    </row>
    <row r="10" spans="2:5" x14ac:dyDescent="0.15">
      <c r="B10" s="2" t="s">
        <v>77</v>
      </c>
    </row>
    <row r="11" spans="2:5" x14ac:dyDescent="0.3">
      <c r="B11" s="6"/>
      <c r="C11" s="7" t="s">
        <v>78</v>
      </c>
      <c r="D11" s="7" t="s">
        <v>79</v>
      </c>
      <c r="E11" s="8" t="s">
        <v>80</v>
      </c>
    </row>
    <row r="12" spans="2:5" x14ac:dyDescent="0.3">
      <c r="B12" s="9" t="s">
        <v>8</v>
      </c>
      <c r="C12" s="4"/>
      <c r="D12" s="4"/>
      <c r="E12" s="10"/>
    </row>
    <row r="13" spans="2:5" x14ac:dyDescent="0.3">
      <c r="B13" s="9" t="s">
        <v>9</v>
      </c>
      <c r="C13" s="5">
        <v>699221942000</v>
      </c>
      <c r="D13" s="5">
        <v>645135490548</v>
      </c>
      <c r="E13" s="11">
        <v>587550843984</v>
      </c>
    </row>
    <row r="14" spans="2:5" x14ac:dyDescent="0.3">
      <c r="B14" s="9" t="s">
        <v>10</v>
      </c>
      <c r="C14" s="5">
        <v>107273747142</v>
      </c>
      <c r="D14" s="5">
        <v>135051183728</v>
      </c>
      <c r="E14" s="11">
        <v>53989123994</v>
      </c>
    </row>
    <row r="15" spans="2:5" x14ac:dyDescent="0.3">
      <c r="B15" s="9" t="s">
        <v>81</v>
      </c>
      <c r="C15" s="5">
        <v>71798915737</v>
      </c>
      <c r="D15" s="5">
        <v>99682100565</v>
      </c>
      <c r="E15" s="11">
        <v>73850852902</v>
      </c>
    </row>
    <row r="16" spans="2:5" x14ac:dyDescent="0.3">
      <c r="B16" s="9" t="s">
        <v>82</v>
      </c>
      <c r="C16" s="5">
        <v>45394953364</v>
      </c>
      <c r="D16" s="5">
        <v>48090664526</v>
      </c>
      <c r="E16" s="11">
        <v>52714559254</v>
      </c>
    </row>
    <row r="17" spans="2:5" x14ac:dyDescent="0.3">
      <c r="B17" s="9" t="s">
        <v>17</v>
      </c>
      <c r="C17" s="5">
        <v>272698619374</v>
      </c>
      <c r="D17" s="5">
        <v>337663829800</v>
      </c>
      <c r="E17" s="11">
        <v>340987647423</v>
      </c>
    </row>
    <row r="18" spans="2:5" x14ac:dyDescent="0.3">
      <c r="B18" s="9" t="s">
        <v>83</v>
      </c>
      <c r="C18" s="5">
        <v>111279303585</v>
      </c>
      <c r="D18" s="5">
        <v>5365548383</v>
      </c>
      <c r="E18" s="11">
        <v>37374933407</v>
      </c>
    </row>
    <row r="19" spans="2:5" x14ac:dyDescent="0.3">
      <c r="B19" s="9" t="s">
        <v>84</v>
      </c>
      <c r="C19" s="5">
        <v>83978200000</v>
      </c>
      <c r="D19" s="5">
        <v>7694400000</v>
      </c>
      <c r="E19" s="11">
        <v>15792000000</v>
      </c>
    </row>
    <row r="20" spans="2:5" x14ac:dyDescent="0.3">
      <c r="B20" s="9" t="s">
        <v>19</v>
      </c>
      <c r="C20" s="5">
        <v>6798202798</v>
      </c>
      <c r="D20" s="5">
        <v>7159622558</v>
      </c>
      <c r="E20" s="11">
        <v>12841727004</v>
      </c>
    </row>
    <row r="21" spans="2:5" x14ac:dyDescent="0.3">
      <c r="B21" s="9" t="s">
        <v>85</v>
      </c>
      <c r="C21" s="4">
        <v>0</v>
      </c>
      <c r="D21" s="5">
        <v>4428140988</v>
      </c>
      <c r="E21" s="10">
        <v>0</v>
      </c>
    </row>
    <row r="22" spans="2:5" x14ac:dyDescent="0.3">
      <c r="B22" s="9" t="s">
        <v>21</v>
      </c>
      <c r="C22" s="5">
        <v>465414277440</v>
      </c>
      <c r="D22" s="5">
        <v>479011575243</v>
      </c>
      <c r="E22" s="11">
        <v>497311997804</v>
      </c>
    </row>
    <row r="23" spans="2:5" x14ac:dyDescent="0.3">
      <c r="B23" s="9" t="s">
        <v>86</v>
      </c>
      <c r="C23" s="5">
        <v>8029298866</v>
      </c>
      <c r="D23" s="5">
        <v>8171529910</v>
      </c>
      <c r="E23" s="11">
        <v>11670492960</v>
      </c>
    </row>
    <row r="24" spans="2:5" x14ac:dyDescent="0.3">
      <c r="B24" s="9" t="s">
        <v>87</v>
      </c>
      <c r="C24" s="5">
        <v>8328486096</v>
      </c>
      <c r="D24" s="5">
        <v>8952077382</v>
      </c>
      <c r="E24" s="11">
        <v>5575796842</v>
      </c>
    </row>
    <row r="25" spans="2:5" ht="27" x14ac:dyDescent="0.3">
      <c r="B25" s="9" t="s">
        <v>88</v>
      </c>
      <c r="C25" s="5">
        <v>24265324385</v>
      </c>
      <c r="D25" s="5">
        <v>19242996022</v>
      </c>
      <c r="E25" s="11">
        <v>18845555382</v>
      </c>
    </row>
    <row r="26" spans="2:5" x14ac:dyDescent="0.3">
      <c r="B26" s="9" t="s">
        <v>33</v>
      </c>
      <c r="C26" s="5">
        <v>9529341686</v>
      </c>
      <c r="D26" s="5">
        <v>7068169914</v>
      </c>
      <c r="E26" s="11">
        <v>9543213090</v>
      </c>
    </row>
    <row r="27" spans="2:5" x14ac:dyDescent="0.3">
      <c r="B27" s="9" t="s">
        <v>27</v>
      </c>
      <c r="C27" s="5">
        <v>6738725136</v>
      </c>
      <c r="D27" s="5">
        <v>7045854606</v>
      </c>
      <c r="E27" s="11">
        <v>7545559382</v>
      </c>
    </row>
    <row r="28" spans="2:5" x14ac:dyDescent="0.3">
      <c r="B28" s="9" t="s">
        <v>29</v>
      </c>
      <c r="C28" s="5">
        <v>322582791922</v>
      </c>
      <c r="D28" s="5">
        <v>334233349351</v>
      </c>
      <c r="E28" s="11">
        <v>353690379851</v>
      </c>
    </row>
    <row r="29" spans="2:5" x14ac:dyDescent="0.3">
      <c r="B29" s="9" t="s">
        <v>28</v>
      </c>
      <c r="C29" s="5">
        <v>31026997981</v>
      </c>
      <c r="D29" s="5">
        <v>31927016623</v>
      </c>
      <c r="E29" s="11">
        <v>33973222034</v>
      </c>
    </row>
    <row r="30" spans="2:5" x14ac:dyDescent="0.3">
      <c r="B30" s="9" t="s">
        <v>31</v>
      </c>
      <c r="C30" s="5">
        <v>27679385978</v>
      </c>
      <c r="D30" s="5">
        <v>27100166351</v>
      </c>
      <c r="E30" s="11">
        <v>22290789947</v>
      </c>
    </row>
    <row r="31" spans="2:5" x14ac:dyDescent="0.3">
      <c r="B31" s="9" t="s">
        <v>89</v>
      </c>
      <c r="C31" s="5">
        <v>24672061541</v>
      </c>
      <c r="D31" s="5">
        <v>32478799107</v>
      </c>
      <c r="E31" s="11">
        <v>32189218829</v>
      </c>
    </row>
    <row r="32" spans="2:5" x14ac:dyDescent="0.3">
      <c r="B32" s="9" t="s">
        <v>30</v>
      </c>
      <c r="C32" s="5">
        <v>2561863849</v>
      </c>
      <c r="D32" s="5">
        <v>2791615977</v>
      </c>
      <c r="E32" s="11">
        <v>1987769487</v>
      </c>
    </row>
    <row r="33" spans="1:5" x14ac:dyDescent="0.3">
      <c r="B33" s="9" t="s">
        <v>34</v>
      </c>
      <c r="C33" s="5">
        <v>1164636219440</v>
      </c>
      <c r="D33" s="5">
        <v>1124147065791</v>
      </c>
      <c r="E33" s="11">
        <v>1084862841788</v>
      </c>
    </row>
    <row r="34" spans="1:5" x14ac:dyDescent="0.3">
      <c r="B34" s="9" t="s">
        <v>35</v>
      </c>
      <c r="C34" s="4"/>
      <c r="D34" s="4"/>
      <c r="E34" s="10"/>
    </row>
    <row r="35" spans="1:5" x14ac:dyDescent="0.3">
      <c r="B35" s="9" t="s">
        <v>36</v>
      </c>
      <c r="C35" s="5">
        <v>188109671299</v>
      </c>
      <c r="D35" s="5">
        <v>228970241659</v>
      </c>
      <c r="E35" s="11">
        <v>209555443957</v>
      </c>
    </row>
    <row r="36" spans="1:5" x14ac:dyDescent="0.3">
      <c r="B36" s="9" t="s">
        <v>90</v>
      </c>
      <c r="C36" s="5">
        <v>51765255657</v>
      </c>
      <c r="D36" s="5">
        <v>58830150153</v>
      </c>
      <c r="E36" s="11">
        <v>57245602841</v>
      </c>
    </row>
    <row r="37" spans="1:5" x14ac:dyDescent="0.3">
      <c r="B37" s="9" t="s">
        <v>91</v>
      </c>
      <c r="C37" s="5">
        <v>109063857660</v>
      </c>
      <c r="D37" s="5">
        <v>146759751822</v>
      </c>
      <c r="E37" s="11">
        <v>132831758858</v>
      </c>
    </row>
    <row r="38" spans="1:5" x14ac:dyDescent="0.3">
      <c r="B38" s="9" t="s">
        <v>92</v>
      </c>
      <c r="C38" s="5">
        <v>1321318189</v>
      </c>
      <c r="D38" s="5">
        <v>942887058</v>
      </c>
      <c r="E38" s="11">
        <v>872940404</v>
      </c>
    </row>
    <row r="39" spans="1:5" x14ac:dyDescent="0.3">
      <c r="B39" s="9" t="s">
        <v>93</v>
      </c>
      <c r="C39" s="5">
        <v>15621816785</v>
      </c>
      <c r="D39" s="5">
        <v>15584114645</v>
      </c>
      <c r="E39" s="11">
        <v>15726404678</v>
      </c>
    </row>
    <row r="40" spans="1:5" x14ac:dyDescent="0.3">
      <c r="A40" s="18" t="s">
        <v>72</v>
      </c>
      <c r="B40" s="19" t="s">
        <v>94</v>
      </c>
      <c r="C40" s="20">
        <v>2673821574</v>
      </c>
      <c r="D40" s="5">
        <v>3134995196</v>
      </c>
      <c r="E40" s="11">
        <v>2504584125</v>
      </c>
    </row>
    <row r="41" spans="1:5" x14ac:dyDescent="0.3">
      <c r="B41" s="9" t="s">
        <v>95</v>
      </c>
      <c r="C41" s="5">
        <v>7663601434</v>
      </c>
      <c r="D41" s="5">
        <v>3718342785</v>
      </c>
      <c r="E41" s="11">
        <v>374153051</v>
      </c>
    </row>
    <row r="42" spans="1:5" x14ac:dyDescent="0.3">
      <c r="B42" s="9" t="s">
        <v>49</v>
      </c>
      <c r="C42" s="5">
        <v>6510992189</v>
      </c>
      <c r="D42" s="5">
        <v>7716651551</v>
      </c>
      <c r="E42" s="11">
        <v>8604802323</v>
      </c>
    </row>
    <row r="43" spans="1:5" x14ac:dyDescent="0.3">
      <c r="B43" s="9" t="s">
        <v>96</v>
      </c>
      <c r="C43" s="5">
        <v>972943314</v>
      </c>
      <c r="D43" s="5">
        <v>1273940779</v>
      </c>
      <c r="E43" s="11">
        <v>895220417</v>
      </c>
    </row>
    <row r="44" spans="1:5" x14ac:dyDescent="0.3">
      <c r="B44" s="9" t="s">
        <v>97</v>
      </c>
      <c r="C44" s="5">
        <v>485000000</v>
      </c>
      <c r="D44" s="4">
        <v>0</v>
      </c>
      <c r="E44" s="10">
        <v>0</v>
      </c>
    </row>
    <row r="45" spans="1:5" x14ac:dyDescent="0.3">
      <c r="B45" s="9" t="s">
        <v>98</v>
      </c>
      <c r="C45" s="5">
        <v>1567638469</v>
      </c>
      <c r="D45" s="5">
        <v>1185812874</v>
      </c>
      <c r="E45" s="11">
        <v>1095250376</v>
      </c>
    </row>
    <row r="46" spans="1:5" x14ac:dyDescent="0.3">
      <c r="A46" s="18" t="s">
        <v>72</v>
      </c>
      <c r="B46" s="19" t="s">
        <v>99</v>
      </c>
      <c r="C46" s="20">
        <v>3485410406</v>
      </c>
      <c r="D46" s="5">
        <v>5256897898</v>
      </c>
      <c r="E46" s="11">
        <v>6614331530</v>
      </c>
    </row>
    <row r="47" spans="1:5" x14ac:dyDescent="0.3">
      <c r="B47" s="9" t="s">
        <v>61</v>
      </c>
      <c r="C47" s="5">
        <v>194620663488</v>
      </c>
      <c r="D47" s="5">
        <v>236686893210</v>
      </c>
      <c r="E47" s="11">
        <v>218160246280</v>
      </c>
    </row>
    <row r="48" spans="1:5" x14ac:dyDescent="0.3">
      <c r="B48" s="9" t="s">
        <v>62</v>
      </c>
      <c r="C48" s="4"/>
      <c r="D48" s="4"/>
      <c r="E48" s="10"/>
    </row>
    <row r="49" spans="2:5" ht="27" x14ac:dyDescent="0.3">
      <c r="B49" s="9" t="s">
        <v>63</v>
      </c>
      <c r="C49" s="5">
        <v>970015555952</v>
      </c>
      <c r="D49" s="5">
        <v>887460172581</v>
      </c>
      <c r="E49" s="11">
        <v>866702595508</v>
      </c>
    </row>
    <row r="50" spans="2:5" x14ac:dyDescent="0.3">
      <c r="B50" s="9" t="s">
        <v>64</v>
      </c>
      <c r="C50" s="5">
        <v>24541950500</v>
      </c>
      <c r="D50" s="5">
        <v>24541950500</v>
      </c>
      <c r="E50" s="11">
        <v>24541950500</v>
      </c>
    </row>
    <row r="51" spans="2:5" x14ac:dyDescent="0.3">
      <c r="B51" s="9" t="s">
        <v>100</v>
      </c>
      <c r="C51" s="5">
        <v>357423799803</v>
      </c>
      <c r="D51" s="5">
        <v>357423799803</v>
      </c>
      <c r="E51" s="11">
        <v>357423799803</v>
      </c>
    </row>
    <row r="52" spans="2:5" x14ac:dyDescent="0.3">
      <c r="B52" s="9" t="s">
        <v>101</v>
      </c>
      <c r="C52" s="5">
        <v>-9644283766</v>
      </c>
      <c r="D52" s="5">
        <v>-9644283766</v>
      </c>
      <c r="E52" s="11">
        <v>-9644283766</v>
      </c>
    </row>
    <row r="53" spans="2:5" x14ac:dyDescent="0.3">
      <c r="B53" s="9" t="s">
        <v>102</v>
      </c>
      <c r="C53" s="5">
        <v>761017475</v>
      </c>
      <c r="D53" s="5">
        <v>634552414</v>
      </c>
      <c r="E53" s="11">
        <v>196975062</v>
      </c>
    </row>
    <row r="54" spans="2:5" x14ac:dyDescent="0.3">
      <c r="B54" s="9" t="s">
        <v>67</v>
      </c>
      <c r="C54" s="5">
        <v>596933071940</v>
      </c>
      <c r="D54" s="5">
        <v>514504153630</v>
      </c>
      <c r="E54" s="11">
        <v>494184153909</v>
      </c>
    </row>
    <row r="55" spans="2:5" x14ac:dyDescent="0.3">
      <c r="B55" s="9" t="s">
        <v>103</v>
      </c>
      <c r="C55" s="4">
        <v>0</v>
      </c>
      <c r="D55" s="4">
        <v>0</v>
      </c>
      <c r="E55" s="10">
        <v>0</v>
      </c>
    </row>
    <row r="56" spans="2:5" x14ac:dyDescent="0.3">
      <c r="B56" s="9" t="s">
        <v>69</v>
      </c>
      <c r="C56" s="5">
        <v>970015555952</v>
      </c>
      <c r="D56" s="5">
        <v>887460172581</v>
      </c>
      <c r="E56" s="11">
        <v>866702595508</v>
      </c>
    </row>
    <row r="57" spans="2:5" x14ac:dyDescent="0.3">
      <c r="B57" s="12" t="s">
        <v>104</v>
      </c>
      <c r="C57" s="13">
        <v>1164636219440</v>
      </c>
      <c r="D57" s="13">
        <v>1124147065791</v>
      </c>
      <c r="E57" s="14">
        <v>1084862841788</v>
      </c>
    </row>
    <row r="60" spans="2:5" x14ac:dyDescent="0.3">
      <c r="B60" s="24" t="s">
        <v>105</v>
      </c>
      <c r="C60" s="24"/>
    </row>
    <row r="61" spans="2:5" x14ac:dyDescent="0.3">
      <c r="B61" s="22" t="s">
        <v>106</v>
      </c>
      <c r="C61" s="23" t="s">
        <v>107</v>
      </c>
    </row>
    <row r="62" spans="2:5" ht="27" x14ac:dyDescent="0.3">
      <c r="B62" s="6"/>
      <c r="C62" s="7"/>
      <c r="D62" s="7" t="s">
        <v>108</v>
      </c>
      <c r="E62" s="8" t="s">
        <v>109</v>
      </c>
    </row>
    <row r="63" spans="2:5" ht="27" x14ac:dyDescent="0.3">
      <c r="B63" s="25" t="s">
        <v>110</v>
      </c>
      <c r="C63" s="3" t="s">
        <v>111</v>
      </c>
      <c r="D63" s="5">
        <v>45000256</v>
      </c>
      <c r="E63" s="11">
        <v>45000256</v>
      </c>
    </row>
    <row r="64" spans="2:5" x14ac:dyDescent="0.3">
      <c r="B64" s="26"/>
      <c r="C64" s="3" t="s">
        <v>112</v>
      </c>
      <c r="D64" s="5">
        <v>485000</v>
      </c>
      <c r="E64" s="11">
        <v>485000</v>
      </c>
    </row>
    <row r="65" spans="2:5" x14ac:dyDescent="0.3">
      <c r="B65" s="27" t="s">
        <v>113</v>
      </c>
      <c r="C65" s="28"/>
      <c r="D65" s="13">
        <v>45485256</v>
      </c>
      <c r="E65" s="14">
        <v>45485256</v>
      </c>
    </row>
    <row r="68" spans="2:5" x14ac:dyDescent="0.3">
      <c r="B68" s="24" t="s">
        <v>114</v>
      </c>
      <c r="C68" s="24"/>
    </row>
    <row r="69" spans="2:5" x14ac:dyDescent="0.3">
      <c r="B69" s="22" t="s">
        <v>106</v>
      </c>
      <c r="C69" s="23" t="s">
        <v>107</v>
      </c>
    </row>
    <row r="70" spans="2:5" ht="27" x14ac:dyDescent="0.3">
      <c r="B70" s="6"/>
      <c r="C70" s="7"/>
      <c r="D70" s="8" t="s">
        <v>115</v>
      </c>
    </row>
    <row r="71" spans="2:5" x14ac:dyDescent="0.3">
      <c r="B71" s="30" t="s">
        <v>116</v>
      </c>
      <c r="C71" s="31"/>
      <c r="D71" s="11">
        <v>45485256</v>
      </c>
    </row>
    <row r="72" spans="2:5" ht="40.5" x14ac:dyDescent="0.3">
      <c r="B72" s="25" t="s">
        <v>116</v>
      </c>
      <c r="C72" s="3" t="s">
        <v>117</v>
      </c>
      <c r="D72" s="11">
        <v>44027313</v>
      </c>
    </row>
    <row r="73" spans="2:5" ht="27" x14ac:dyDescent="0.3">
      <c r="B73" s="32"/>
      <c r="C73" s="3" t="s">
        <v>118</v>
      </c>
      <c r="D73" s="11">
        <v>972943</v>
      </c>
    </row>
    <row r="74" spans="2:5" ht="27" x14ac:dyDescent="0.3">
      <c r="B74" s="33"/>
      <c r="C74" s="29" t="s">
        <v>119</v>
      </c>
      <c r="D74" s="14">
        <v>485000</v>
      </c>
    </row>
  </sheetData>
  <mergeCells count="6">
    <mergeCell ref="B60:C60"/>
    <mergeCell ref="B63:B64"/>
    <mergeCell ref="B65:C65"/>
    <mergeCell ref="B68:C68"/>
    <mergeCell ref="B71:C71"/>
    <mergeCell ref="B72:B7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537F-4745-4079-9373-09857DA5628D}">
  <dimension ref="A1:E65"/>
  <sheetViews>
    <sheetView workbookViewId="0">
      <selection activeCell="B4" sqref="B4"/>
    </sheetView>
  </sheetViews>
  <sheetFormatPr defaultRowHeight="16.5" x14ac:dyDescent="0.3"/>
  <cols>
    <col min="2" max="2" width="29" customWidth="1"/>
    <col min="3" max="3" width="17" customWidth="1"/>
    <col min="4" max="4" width="18.125" customWidth="1"/>
    <col min="5" max="5" width="15.625" customWidth="1"/>
  </cols>
  <sheetData>
    <row r="1" spans="2:5" x14ac:dyDescent="0.3">
      <c r="B1" s="21" t="s">
        <v>73</v>
      </c>
    </row>
    <row r="2" spans="2:5" x14ac:dyDescent="0.2">
      <c r="B2" s="15" t="s">
        <v>71</v>
      </c>
    </row>
    <row r="3" spans="2:5" x14ac:dyDescent="0.2">
      <c r="B3" s="16">
        <f>SUMIF(A:A,B2,C:C)/10^6</f>
        <v>350080.38418200001</v>
      </c>
    </row>
    <row r="4" spans="2:5" x14ac:dyDescent="0.2">
      <c r="B4" s="17"/>
    </row>
    <row r="5" spans="2:5" x14ac:dyDescent="0.2">
      <c r="B5" s="17"/>
    </row>
    <row r="6" spans="2:5" x14ac:dyDescent="0.3">
      <c r="B6" s="1" t="s">
        <v>0</v>
      </c>
    </row>
    <row r="7" spans="2:5" x14ac:dyDescent="0.3">
      <c r="B7" s="1" t="s">
        <v>120</v>
      </c>
    </row>
    <row r="8" spans="2:5" x14ac:dyDescent="0.3">
      <c r="B8" s="1" t="s">
        <v>121</v>
      </c>
    </row>
    <row r="9" spans="2:5" x14ac:dyDescent="0.3">
      <c r="B9" s="1" t="s">
        <v>122</v>
      </c>
    </row>
    <row r="10" spans="2:5" x14ac:dyDescent="0.15">
      <c r="B10" s="2" t="s">
        <v>77</v>
      </c>
    </row>
    <row r="11" spans="2:5" x14ac:dyDescent="0.3">
      <c r="B11" s="6"/>
      <c r="C11" s="7" t="s">
        <v>123</v>
      </c>
      <c r="D11" s="7" t="s">
        <v>124</v>
      </c>
      <c r="E11" s="8" t="s">
        <v>125</v>
      </c>
    </row>
    <row r="12" spans="2:5" x14ac:dyDescent="0.3">
      <c r="B12" s="9" t="s">
        <v>8</v>
      </c>
      <c r="C12" s="4"/>
      <c r="D12" s="4"/>
      <c r="E12" s="10"/>
    </row>
    <row r="13" spans="2:5" x14ac:dyDescent="0.3">
      <c r="B13" s="9" t="s">
        <v>9</v>
      </c>
      <c r="C13" s="5">
        <v>2003730249566</v>
      </c>
      <c r="D13" s="5">
        <v>1734808826757</v>
      </c>
      <c r="E13" s="11">
        <v>1952196456821</v>
      </c>
    </row>
    <row r="14" spans="2:5" x14ac:dyDescent="0.3">
      <c r="B14" s="9" t="s">
        <v>10</v>
      </c>
      <c r="C14" s="5">
        <v>524558265446</v>
      </c>
      <c r="D14" s="5">
        <v>451543362844</v>
      </c>
      <c r="E14" s="11">
        <v>506379386493</v>
      </c>
    </row>
    <row r="15" spans="2:5" x14ac:dyDescent="0.3">
      <c r="B15" s="9" t="s">
        <v>126</v>
      </c>
      <c r="C15" s="5">
        <v>74107360000</v>
      </c>
      <c r="D15" s="5">
        <v>46661703690</v>
      </c>
      <c r="E15" s="11">
        <v>61774213379</v>
      </c>
    </row>
    <row r="16" spans="2:5" ht="27" x14ac:dyDescent="0.3">
      <c r="B16" s="9" t="s">
        <v>127</v>
      </c>
      <c r="C16" s="5">
        <v>446094062862</v>
      </c>
      <c r="D16" s="5">
        <v>226504379260</v>
      </c>
      <c r="E16" s="11">
        <v>549634663158</v>
      </c>
    </row>
    <row r="17" spans="2:5" x14ac:dyDescent="0.3">
      <c r="B17" s="9" t="s">
        <v>15</v>
      </c>
      <c r="C17" s="5">
        <v>37011000000</v>
      </c>
      <c r="D17" s="5">
        <v>30000000000</v>
      </c>
      <c r="E17" s="11">
        <v>58630000000</v>
      </c>
    </row>
    <row r="18" spans="2:5" x14ac:dyDescent="0.3">
      <c r="B18" s="9" t="s">
        <v>12</v>
      </c>
      <c r="C18" s="5">
        <v>358014052295</v>
      </c>
      <c r="D18" s="5">
        <v>386339598982</v>
      </c>
      <c r="E18" s="11">
        <v>292900370185</v>
      </c>
    </row>
    <row r="19" spans="2:5" x14ac:dyDescent="0.3">
      <c r="B19" s="9" t="s">
        <v>128</v>
      </c>
      <c r="C19" s="5">
        <v>43468822719</v>
      </c>
      <c r="D19" s="5">
        <v>51538106251</v>
      </c>
      <c r="E19" s="11">
        <v>46359581121</v>
      </c>
    </row>
    <row r="20" spans="2:5" x14ac:dyDescent="0.3">
      <c r="B20" s="9" t="s">
        <v>85</v>
      </c>
      <c r="C20" s="5">
        <v>396723699</v>
      </c>
      <c r="D20" s="5">
        <v>863754249</v>
      </c>
      <c r="E20" s="11">
        <v>1395767125</v>
      </c>
    </row>
    <row r="21" spans="2:5" x14ac:dyDescent="0.3">
      <c r="B21" s="9" t="s">
        <v>19</v>
      </c>
      <c r="C21" s="5">
        <v>39985340252</v>
      </c>
      <c r="D21" s="5">
        <v>43556635015</v>
      </c>
      <c r="E21" s="11">
        <v>40810673046</v>
      </c>
    </row>
    <row r="22" spans="2:5" x14ac:dyDescent="0.3">
      <c r="B22" s="9" t="s">
        <v>17</v>
      </c>
      <c r="C22" s="5">
        <v>480094622293</v>
      </c>
      <c r="D22" s="5">
        <v>497801286466</v>
      </c>
      <c r="E22" s="11">
        <v>394311802314</v>
      </c>
    </row>
    <row r="23" spans="2:5" x14ac:dyDescent="0.3">
      <c r="B23" s="9" t="s">
        <v>21</v>
      </c>
      <c r="C23" s="5">
        <v>4957483059928</v>
      </c>
      <c r="D23" s="5">
        <v>5048698974011</v>
      </c>
      <c r="E23" s="11">
        <v>3934314431881</v>
      </c>
    </row>
    <row r="24" spans="2:5" x14ac:dyDescent="0.3">
      <c r="B24" s="9" t="s">
        <v>126</v>
      </c>
      <c r="C24" s="5">
        <v>27658619237</v>
      </c>
      <c r="D24" s="5">
        <v>26529014383</v>
      </c>
      <c r="E24" s="11">
        <v>23988856981</v>
      </c>
    </row>
    <row r="25" spans="2:5" x14ac:dyDescent="0.3">
      <c r="B25" s="9" t="s">
        <v>128</v>
      </c>
      <c r="C25" s="5">
        <v>55073677298</v>
      </c>
      <c r="D25" s="5">
        <v>63832374479</v>
      </c>
      <c r="E25" s="11">
        <v>67356278864</v>
      </c>
    </row>
    <row r="26" spans="2:5" ht="27" x14ac:dyDescent="0.3">
      <c r="B26" s="9" t="s">
        <v>127</v>
      </c>
      <c r="C26" s="5">
        <v>9697077652</v>
      </c>
      <c r="D26" s="5">
        <v>9454592251</v>
      </c>
      <c r="E26" s="11">
        <v>33031318251</v>
      </c>
    </row>
    <row r="27" spans="2:5" x14ac:dyDescent="0.3">
      <c r="B27" s="9" t="s">
        <v>15</v>
      </c>
      <c r="C27" s="5">
        <v>1251845000</v>
      </c>
      <c r="D27" s="5">
        <v>964525000</v>
      </c>
      <c r="E27" s="11">
        <v>976580000</v>
      </c>
    </row>
    <row r="28" spans="2:5" ht="27" x14ac:dyDescent="0.3">
      <c r="B28" s="9" t="s">
        <v>129</v>
      </c>
      <c r="C28" s="5">
        <v>716681560</v>
      </c>
      <c r="D28" s="5">
        <v>5063012560</v>
      </c>
      <c r="E28" s="11">
        <v>6216765880</v>
      </c>
    </row>
    <row r="29" spans="2:5" x14ac:dyDescent="0.3">
      <c r="B29" s="9" t="s">
        <v>29</v>
      </c>
      <c r="C29" s="5">
        <v>2224753220093</v>
      </c>
      <c r="D29" s="5">
        <v>2296405530047</v>
      </c>
      <c r="E29" s="11">
        <v>2441603701077</v>
      </c>
    </row>
    <row r="30" spans="2:5" x14ac:dyDescent="0.3">
      <c r="B30" s="9" t="s">
        <v>31</v>
      </c>
      <c r="C30" s="5">
        <v>1722566907541</v>
      </c>
      <c r="D30" s="5">
        <v>1773943897518</v>
      </c>
      <c r="E30" s="11">
        <v>340680136431</v>
      </c>
    </row>
    <row r="31" spans="2:5" x14ac:dyDescent="0.3">
      <c r="B31" s="9" t="s">
        <v>28</v>
      </c>
      <c r="C31" s="5">
        <v>606416570584</v>
      </c>
      <c r="D31" s="5">
        <v>594687077636</v>
      </c>
      <c r="E31" s="11">
        <v>496219430433</v>
      </c>
    </row>
    <row r="32" spans="2:5" x14ac:dyDescent="0.3">
      <c r="B32" s="9" t="s">
        <v>30</v>
      </c>
      <c r="C32" s="5">
        <v>98247382197</v>
      </c>
      <c r="D32" s="5">
        <v>137358022153</v>
      </c>
      <c r="E32" s="11">
        <v>101084118039</v>
      </c>
    </row>
    <row r="33" spans="1:5" x14ac:dyDescent="0.3">
      <c r="B33" s="9" t="s">
        <v>130</v>
      </c>
      <c r="C33" s="5">
        <v>5588118808</v>
      </c>
      <c r="D33" s="5">
        <v>5819500670</v>
      </c>
      <c r="E33" s="11">
        <v>287060733528</v>
      </c>
    </row>
    <row r="34" spans="1:5" x14ac:dyDescent="0.3">
      <c r="B34" s="9" t="s">
        <v>131</v>
      </c>
      <c r="C34" s="5">
        <v>142619306561</v>
      </c>
      <c r="D34" s="5">
        <v>75350672263</v>
      </c>
      <c r="E34" s="11">
        <v>112607043654</v>
      </c>
    </row>
    <row r="35" spans="1:5" x14ac:dyDescent="0.3">
      <c r="B35" s="9" t="s">
        <v>32</v>
      </c>
      <c r="C35" s="5">
        <v>54522941755</v>
      </c>
      <c r="D35" s="5">
        <v>50941924787</v>
      </c>
      <c r="E35" s="11">
        <v>13846205025</v>
      </c>
    </row>
    <row r="36" spans="1:5" x14ac:dyDescent="0.3">
      <c r="B36" s="9" t="s">
        <v>33</v>
      </c>
      <c r="C36" s="5">
        <v>8370711642</v>
      </c>
      <c r="D36" s="5">
        <v>8348830264</v>
      </c>
      <c r="E36" s="11">
        <v>9643263718</v>
      </c>
    </row>
    <row r="37" spans="1:5" x14ac:dyDescent="0.3">
      <c r="B37" s="9" t="s">
        <v>34</v>
      </c>
      <c r="C37" s="5">
        <v>6961213309494</v>
      </c>
      <c r="D37" s="5">
        <v>6783507800768</v>
      </c>
      <c r="E37" s="11">
        <v>5886510888702</v>
      </c>
    </row>
    <row r="38" spans="1:5" x14ac:dyDescent="0.3">
      <c r="B38" s="9" t="s">
        <v>35</v>
      </c>
      <c r="C38" s="4"/>
      <c r="D38" s="4"/>
      <c r="E38" s="10"/>
    </row>
    <row r="39" spans="1:5" x14ac:dyDescent="0.3">
      <c r="B39" s="9" t="s">
        <v>36</v>
      </c>
      <c r="C39" s="5">
        <v>1120868276361</v>
      </c>
      <c r="D39" s="5">
        <v>1095705144331</v>
      </c>
      <c r="E39" s="11">
        <v>813257101661</v>
      </c>
    </row>
    <row r="40" spans="1:5" x14ac:dyDescent="0.3">
      <c r="B40" s="9" t="s">
        <v>37</v>
      </c>
      <c r="C40" s="5">
        <v>109370885521</v>
      </c>
      <c r="D40" s="5">
        <v>95965246773</v>
      </c>
      <c r="E40" s="11">
        <v>86442072724</v>
      </c>
    </row>
    <row r="41" spans="1:5" x14ac:dyDescent="0.3">
      <c r="A41" s="18" t="s">
        <v>72</v>
      </c>
      <c r="B41" s="19" t="s">
        <v>41</v>
      </c>
      <c r="C41" s="20">
        <v>256253631834</v>
      </c>
      <c r="D41" s="5">
        <v>306194906069</v>
      </c>
      <c r="E41" s="11">
        <v>244108853364</v>
      </c>
    </row>
    <row r="42" spans="1:5" x14ac:dyDescent="0.3">
      <c r="B42" s="9" t="s">
        <v>132</v>
      </c>
      <c r="C42" s="5">
        <v>362575698120</v>
      </c>
      <c r="D42" s="5">
        <v>287672036903</v>
      </c>
      <c r="E42" s="11">
        <v>125500534330</v>
      </c>
    </row>
    <row r="43" spans="1:5" x14ac:dyDescent="0.3">
      <c r="B43" s="9" t="s">
        <v>95</v>
      </c>
      <c r="C43" s="5">
        <v>42993411664</v>
      </c>
      <c r="D43" s="5">
        <v>55008652808</v>
      </c>
      <c r="E43" s="11">
        <v>22688183409</v>
      </c>
    </row>
    <row r="44" spans="1:5" x14ac:dyDescent="0.3">
      <c r="B44" s="9" t="s">
        <v>133</v>
      </c>
      <c r="C44" s="5">
        <v>40829785971</v>
      </c>
      <c r="D44" s="5">
        <v>36018371304</v>
      </c>
      <c r="E44" s="11">
        <v>33409778405</v>
      </c>
    </row>
    <row r="45" spans="1:5" x14ac:dyDescent="0.3">
      <c r="B45" s="9" t="s">
        <v>134</v>
      </c>
      <c r="C45" s="5">
        <v>92054888800</v>
      </c>
      <c r="D45" s="5">
        <v>76288195477</v>
      </c>
      <c r="E45" s="11">
        <v>47465342867</v>
      </c>
    </row>
    <row r="46" spans="1:5" x14ac:dyDescent="0.3">
      <c r="A46" s="18" t="s">
        <v>72</v>
      </c>
      <c r="B46" s="19" t="s">
        <v>135</v>
      </c>
      <c r="C46" s="20">
        <v>48395066555</v>
      </c>
      <c r="D46" s="5">
        <v>61264289188</v>
      </c>
      <c r="E46" s="11">
        <v>55346660805</v>
      </c>
    </row>
    <row r="47" spans="1:5" x14ac:dyDescent="0.3">
      <c r="B47" s="9" t="s">
        <v>92</v>
      </c>
      <c r="C47" s="5">
        <v>168394907896</v>
      </c>
      <c r="D47" s="5">
        <v>177293445809</v>
      </c>
      <c r="E47" s="11">
        <v>198295675757</v>
      </c>
    </row>
    <row r="48" spans="1:5" x14ac:dyDescent="0.3">
      <c r="B48" s="9" t="s">
        <v>49</v>
      </c>
      <c r="C48" s="5">
        <v>336887257638</v>
      </c>
      <c r="D48" s="5">
        <v>361794767331</v>
      </c>
      <c r="E48" s="11">
        <v>200548575984</v>
      </c>
    </row>
    <row r="49" spans="1:5" x14ac:dyDescent="0.3">
      <c r="B49" s="9" t="s">
        <v>54</v>
      </c>
      <c r="C49" s="5">
        <v>6251877593</v>
      </c>
      <c r="D49" s="5">
        <v>6255776125</v>
      </c>
      <c r="E49" s="11">
        <v>4493819499</v>
      </c>
    </row>
    <row r="50" spans="1:5" x14ac:dyDescent="0.3">
      <c r="B50" s="9" t="s">
        <v>60</v>
      </c>
      <c r="C50" s="5">
        <v>245654581672</v>
      </c>
      <c r="D50" s="5">
        <v>235817308122</v>
      </c>
      <c r="E50" s="11">
        <v>106367521222</v>
      </c>
    </row>
    <row r="51" spans="1:5" x14ac:dyDescent="0.3">
      <c r="B51" s="9" t="s">
        <v>134</v>
      </c>
      <c r="C51" s="5">
        <v>16240420687</v>
      </c>
      <c r="D51" s="5">
        <v>13581666804</v>
      </c>
      <c r="E51" s="11">
        <v>10349002658</v>
      </c>
    </row>
    <row r="52" spans="1:5" x14ac:dyDescent="0.3">
      <c r="A52" s="18" t="s">
        <v>72</v>
      </c>
      <c r="B52" s="19" t="s">
        <v>136</v>
      </c>
      <c r="C52" s="20">
        <v>45431685793</v>
      </c>
      <c r="D52" s="5">
        <v>72758957849</v>
      </c>
      <c r="E52" s="11">
        <v>50947819097</v>
      </c>
    </row>
    <row r="53" spans="1:5" x14ac:dyDescent="0.3">
      <c r="B53" s="9" t="s">
        <v>137</v>
      </c>
      <c r="C53" s="5">
        <v>23308691893</v>
      </c>
      <c r="D53" s="5">
        <v>33381058431</v>
      </c>
      <c r="E53" s="11">
        <v>28390413508</v>
      </c>
    </row>
    <row r="54" spans="1:5" x14ac:dyDescent="0.3">
      <c r="B54" s="9" t="s">
        <v>61</v>
      </c>
      <c r="C54" s="5">
        <v>1457755533999</v>
      </c>
      <c r="D54" s="5">
        <v>1457499911662</v>
      </c>
      <c r="E54" s="11">
        <v>1013805677645</v>
      </c>
    </row>
    <row r="55" spans="1:5" x14ac:dyDescent="0.3">
      <c r="B55" s="9" t="s">
        <v>62</v>
      </c>
      <c r="C55" s="4"/>
      <c r="D55" s="4"/>
      <c r="E55" s="10"/>
    </row>
    <row r="56" spans="1:5" ht="27" x14ac:dyDescent="0.3">
      <c r="B56" s="9" t="s">
        <v>63</v>
      </c>
      <c r="C56" s="5">
        <v>5449271639491</v>
      </c>
      <c r="D56" s="5">
        <v>5252371283408</v>
      </c>
      <c r="E56" s="11">
        <v>4897988125589</v>
      </c>
    </row>
    <row r="57" spans="1:5" x14ac:dyDescent="0.3">
      <c r="B57" s="9" t="s">
        <v>64</v>
      </c>
      <c r="C57" s="5">
        <v>34525294500</v>
      </c>
      <c r="D57" s="5">
        <v>34525294500</v>
      </c>
      <c r="E57" s="11">
        <v>34525294500</v>
      </c>
    </row>
    <row r="58" spans="1:5" x14ac:dyDescent="0.3">
      <c r="B58" s="9" t="s">
        <v>138</v>
      </c>
      <c r="C58" s="5">
        <v>720480827092</v>
      </c>
      <c r="D58" s="5">
        <v>720480827092</v>
      </c>
      <c r="E58" s="11">
        <v>720480827092</v>
      </c>
    </row>
    <row r="59" spans="1:5" x14ac:dyDescent="0.3">
      <c r="B59" s="9" t="s">
        <v>100</v>
      </c>
      <c r="C59" s="5">
        <v>-87525059543</v>
      </c>
      <c r="D59" s="5">
        <v>-97250231856</v>
      </c>
      <c r="E59" s="11">
        <v>73397775430</v>
      </c>
    </row>
    <row r="60" spans="1:5" x14ac:dyDescent="0.3">
      <c r="B60" s="9" t="s">
        <v>66</v>
      </c>
      <c r="C60" s="5">
        <v>-10605461475</v>
      </c>
      <c r="D60" s="5">
        <v>-18266246371</v>
      </c>
      <c r="E60" s="11">
        <v>-13324991010</v>
      </c>
    </row>
    <row r="61" spans="1:5" x14ac:dyDescent="0.3">
      <c r="B61" s="9" t="s">
        <v>102</v>
      </c>
      <c r="C61" s="5">
        <v>17392739896</v>
      </c>
      <c r="D61" s="5">
        <v>11925615841</v>
      </c>
      <c r="E61" s="11">
        <v>-18492151960</v>
      </c>
    </row>
    <row r="62" spans="1:5" x14ac:dyDescent="0.3">
      <c r="B62" s="9" t="s">
        <v>67</v>
      </c>
      <c r="C62" s="5">
        <v>4775003299021</v>
      </c>
      <c r="D62" s="5">
        <v>4600956024202</v>
      </c>
      <c r="E62" s="11">
        <v>4101401371537</v>
      </c>
    </row>
    <row r="63" spans="1:5" x14ac:dyDescent="0.3">
      <c r="B63" s="9" t="s">
        <v>139</v>
      </c>
      <c r="C63" s="5">
        <v>54186136004</v>
      </c>
      <c r="D63" s="5">
        <v>73636605698</v>
      </c>
      <c r="E63" s="11">
        <v>-25282914532</v>
      </c>
    </row>
    <row r="64" spans="1:5" x14ac:dyDescent="0.3">
      <c r="B64" s="9" t="s">
        <v>69</v>
      </c>
      <c r="C64" s="5">
        <v>5503457775495</v>
      </c>
      <c r="D64" s="5">
        <v>5326007889106</v>
      </c>
      <c r="E64" s="11">
        <v>4872705211057</v>
      </c>
    </row>
    <row r="65" spans="2:5" x14ac:dyDescent="0.3">
      <c r="B65" s="12" t="s">
        <v>140</v>
      </c>
      <c r="C65" s="13">
        <v>6961213309494</v>
      </c>
      <c r="D65" s="13">
        <v>6783507800768</v>
      </c>
      <c r="E65" s="14">
        <v>5886510888702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현대건설</vt:lpstr>
      <vt:lpstr>원익IPS</vt:lpstr>
      <vt:lpstr>아모레퍼시픽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2026-05-13T06:35:08Z</dcterms:created>
  <dcterms:modified xsi:type="dcterms:W3CDTF">2026-05-14T00:33:09Z</dcterms:modified>
</cp:coreProperties>
</file>