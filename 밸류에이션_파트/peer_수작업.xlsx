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현대로템" sheetId="1" r:id="rId4"/>
    <sheet state="visible" name="wacc" sheetId="2" r:id="rId5"/>
    <sheet state="visible" name="peer &gt;&gt;" sheetId="3" r:id="rId6"/>
    <sheet state="visible" name="한국한공우주" sheetId="4" r:id="rId7"/>
    <sheet state="visible" name="두산에너빌리티" sheetId="5" r:id="rId8"/>
    <sheet state="visible" name="한화시스템" sheetId="6" r:id="rId9"/>
    <sheet state="visible" name="LIG넥스원" sheetId="7" r:id="rId10"/>
  </sheets>
  <definedNames/>
  <calcPr/>
  <extLst>
    <ext uri="GoogleSheetsCustomDataVersion2">
      <go:sheetsCustomData xmlns:go="http://customooxmlschemas.google.com/" r:id="rId11" roundtripDataChecksum="wx58eUvQZOVCp5QzkumY4q87bm7cbmTBGY5XjGua4So="/>
    </ext>
  </extLst>
</workbook>
</file>

<file path=xl/sharedStrings.xml><?xml version="1.0" encoding="utf-8"?>
<sst xmlns="http://schemas.openxmlformats.org/spreadsheetml/2006/main" count="1137" uniqueCount="449">
  <si>
    <t>현대로템</t>
  </si>
  <si>
    <t>(단위: 백만)</t>
  </si>
  <si>
    <t xml:space="preserve">*NOTE </t>
  </si>
  <si>
    <t>주가</t>
  </si>
  <si>
    <t>유통주식수</t>
  </si>
  <si>
    <t>시가총액</t>
  </si>
  <si>
    <t>ibd</t>
  </si>
  <si>
    <t xml:space="preserve">ltm ebit </t>
  </si>
  <si>
    <t>tax rate</t>
  </si>
  <si>
    <t>분기보고서 내 주식의 총수 기재하지 않아 직전 사업보고서 사용</t>
  </si>
  <si>
    <t>4. 주식의 총수 등</t>
  </si>
  <si>
    <t>가. 주식의 총수 현황</t>
  </si>
  <si>
    <t>(기준일 :</t>
  </si>
  <si>
    <t>2024.12.31</t>
  </si>
  <si>
    <t>)</t>
  </si>
  <si>
    <t>(단위 : 천주, %)</t>
  </si>
  <si>
    <t>구 분</t>
  </si>
  <si>
    <t>주식의 종류</t>
  </si>
  <si>
    <t>비고</t>
  </si>
  <si>
    <t>보통주</t>
  </si>
  <si>
    <t>우선주</t>
  </si>
  <si>
    <t>합계</t>
  </si>
  <si>
    <t>Ⅰ. 발행할 주식의 총수</t>
  </si>
  <si>
    <t>-</t>
  </si>
  <si>
    <t>정관상 발행 가능한 주식 총수 : 2억주
(보통주/우선주 구분없음)</t>
  </si>
  <si>
    <t>Ⅱ. 현재까지 발행한 주식의 총수</t>
  </si>
  <si>
    <t>Ⅲ. 현재까지 감소한 주식의 총수</t>
  </si>
  <si>
    <t>1. 감자</t>
  </si>
  <si>
    <t>2. 이익소각</t>
  </si>
  <si>
    <t>3. 상환주식의 상환</t>
  </si>
  <si>
    <t>4. 기타</t>
  </si>
  <si>
    <t>Ⅳ. 발행주식의 총수 (Ⅱ-Ⅲ)</t>
  </si>
  <si>
    <t>Ⅴ. 자기주식수</t>
  </si>
  <si>
    <t>Ⅵ. 유통주식수 (Ⅳ-Ⅴ)</t>
  </si>
  <si>
    <t>Ⅶ. 자기주식 보유비율</t>
  </si>
  <si>
    <t>2-1. 연결 재무상태표</t>
  </si>
  <si>
    <t>2-2. 연결 포괄손익계산서</t>
  </si>
  <si>
    <t>연결 재무상태표</t>
  </si>
  <si>
    <t>연결 포괄손익계산서</t>
  </si>
  <si>
    <t>제 27 기 1분기말 2025.03.31 현재</t>
  </si>
  <si>
    <t>제 27 기 1분기 2025.01.01 부터 2025.03.31 까지</t>
  </si>
  <si>
    <t>제 26 기 2024.01.01 부터 2024.12.31 까지</t>
  </si>
  <si>
    <t>제 26 기말 2024.12.31 현재</t>
  </si>
  <si>
    <t>제 26 기 1분기 2024.01.01 부터 2024.03.31 까지</t>
  </si>
  <si>
    <t>제 25 기 2023.01.01 부터 2023.12.31 까지</t>
  </si>
  <si>
    <t>(단위 : 천원)</t>
  </si>
  <si>
    <t>제 24 기 2022.01.01 부터 2022.12.31 까지</t>
  </si>
  <si>
    <t>제 27 기 1분기말</t>
  </si>
  <si>
    <t>제 26 기말</t>
  </si>
  <si>
    <t>제 27 기 1분기</t>
  </si>
  <si>
    <t>제 26 기 1분기</t>
  </si>
  <si>
    <t>자산</t>
  </si>
  <si>
    <t>3개월</t>
  </si>
  <si>
    <t>누적</t>
  </si>
  <si>
    <t>제 26 기</t>
  </si>
  <si>
    <t>제 25 기</t>
  </si>
  <si>
    <t>제 24 기</t>
  </si>
  <si>
    <t>유동자산</t>
  </si>
  <si>
    <t>매출액 (주26,27,36,38)</t>
  </si>
  <si>
    <t>현금및현금성자산 (주4,21,35)</t>
  </si>
  <si>
    <t>매출원가 (주31,36)</t>
  </si>
  <si>
    <t>유동매출채권 (주5,21,27,35,36)</t>
  </si>
  <si>
    <t>매출총이익</t>
  </si>
  <si>
    <t>기타유동채권 (주6,21,36)</t>
  </si>
  <si>
    <t>판매비와관리비 (주28,31,36)</t>
  </si>
  <si>
    <t>계약자산 (주5,27,36)</t>
  </si>
  <si>
    <t>영업손익 (주38)</t>
  </si>
  <si>
    <t>기타금융자산 (주4,7,21,35,36)</t>
  </si>
  <si>
    <t>기타수익 (주21,29)</t>
  </si>
  <si>
    <t>재고자산 (주8)</t>
  </si>
  <si>
    <t>기타비용 (주21,29,31)</t>
  </si>
  <si>
    <t>당기법인세자산</t>
  </si>
  <si>
    <t>금융수익 (주21,30,36)</t>
  </si>
  <si>
    <t>기타유동자산 (주9,21,36)</t>
  </si>
  <si>
    <t>금융비용 (주21,30)</t>
  </si>
  <si>
    <t>비유동자산</t>
  </si>
  <si>
    <t>지분법이익(손실) (주15)</t>
  </si>
  <si>
    <t>비유동매출채권 (주5,21,27,35,36)</t>
  </si>
  <si>
    <t>법인세비용차감전순이익(손실)</t>
  </si>
  <si>
    <t>장기기타채권 (주4,6,21,35,36)</t>
  </si>
  <si>
    <t>법인세비용(수익) (주32)</t>
  </si>
  <si>
    <t>장기기타금융자산 (주7,21,35)</t>
  </si>
  <si>
    <t>연결분기순이익</t>
  </si>
  <si>
    <t>연결당기순이익</t>
  </si>
  <si>
    <t>유형자산 (주10,36,37)</t>
  </si>
  <si>
    <t>기타포괄손익</t>
  </si>
  <si>
    <t>투자부동산 (주11)</t>
  </si>
  <si>
    <t>당기손익으로 재분류되지 않는항목(세후기타포괄손익)</t>
  </si>
  <si>
    <t>사용권자산 (주12)</t>
  </si>
  <si>
    <t>확정급여제도의 재측정손익(세후기타포괄손익)</t>
  </si>
  <si>
    <t>무형자산 (주13,14)</t>
  </si>
  <si>
    <t>당기손익으로 재분류될 수 있는 항목(세후기타포괄손익)</t>
  </si>
  <si>
    <t>세후기타포괄손익, 지분상품에 대한 투자자산 (주7)</t>
  </si>
  <si>
    <t>관계기업투자주식 (주15,36,37)</t>
  </si>
  <si>
    <t>해외사업장환산외환차이(세후기타포괄손익)</t>
  </si>
  <si>
    <t>자산재평가손익</t>
  </si>
  <si>
    <t>비유동 순확정급여자산 (주18)</t>
  </si>
  <si>
    <t>분기총포괄손익</t>
  </si>
  <si>
    <t>기타비유동자산 (주9)</t>
  </si>
  <si>
    <t>분기순손익의 귀속</t>
  </si>
  <si>
    <t>세후파생상품평가이익(기타포괄손익)</t>
  </si>
  <si>
    <t>이연법인세자산</t>
  </si>
  <si>
    <t>지배주주지분 분기순이익</t>
  </si>
  <si>
    <t>자산총계</t>
  </si>
  <si>
    <t>비지배주주지분</t>
  </si>
  <si>
    <t>당기총포괄손익</t>
  </si>
  <si>
    <t>부채</t>
  </si>
  <si>
    <t>분기총포괄이익의 귀속</t>
  </si>
  <si>
    <t>당기순손익의 귀속</t>
  </si>
  <si>
    <t>유동부채</t>
  </si>
  <si>
    <t>지배기업소유주지분</t>
  </si>
  <si>
    <t>지배기업의 소유주에게 귀속되는 당기순이익(손실)</t>
  </si>
  <si>
    <t>매입채무 (주21,35,36)</t>
  </si>
  <si>
    <t>미지급금 (주21,35,36)</t>
  </si>
  <si>
    <t>주당손익 (주33)</t>
  </si>
  <si>
    <t>당기총포괄이익의 귀속</t>
  </si>
  <si>
    <t>계약부채 (주27,36)</t>
  </si>
  <si>
    <t>기본주당이익(손실) (단위 : 원)</t>
  </si>
  <si>
    <t>단기차입금 (주10,16,21,34,35,37)</t>
  </si>
  <si>
    <t>비지배주주지분 (주39)</t>
  </si>
  <si>
    <t>유동성장기부채 (주10,16,21,34,35,37)</t>
  </si>
  <si>
    <t>리스부채 (주17,34,35,36)</t>
  </si>
  <si>
    <t>당기법인세부채</t>
  </si>
  <si>
    <t>충당부채 (주19,27)</t>
  </si>
  <si>
    <t>기타유동부채 (주20,21,35,37)</t>
  </si>
  <si>
    <t>비유동부채</t>
  </si>
  <si>
    <t>장기차입금 (주10,16,21,34,35,37)</t>
  </si>
  <si>
    <t>비유동 순확정급여부채 (주18)</t>
  </si>
  <si>
    <t>충당부채 (주19,37)</t>
  </si>
  <si>
    <t>기타비유동부채 (주20,21,35)</t>
  </si>
  <si>
    <t>이연법인세부채</t>
  </si>
  <si>
    <t>부채총계</t>
  </si>
  <si>
    <t>자본</t>
  </si>
  <si>
    <t>자본금 (주1,22)</t>
  </si>
  <si>
    <t>기타불입자본 (주23)</t>
  </si>
  <si>
    <t>기타자본구성요소 (주24)</t>
  </si>
  <si>
    <t>이익잉여금(결손금) (주25)</t>
  </si>
  <si>
    <t>비지배지분</t>
  </si>
  <si>
    <t>자본총계</t>
  </si>
  <si>
    <t>부채와자본총계</t>
  </si>
  <si>
    <r>
      <rPr>
        <rFont val="Arial"/>
        <color theme="0"/>
        <sz val="11.0"/>
      </rPr>
      <t>기업명</t>
    </r>
  </si>
  <si>
    <t>Debt to Capital</t>
  </si>
  <si>
    <t>Equity to Capital</t>
  </si>
  <si>
    <t>Market Value of Total Equity</t>
  </si>
  <si>
    <t>IBD</t>
  </si>
  <si>
    <t xml:space="preserve">Capital </t>
  </si>
  <si>
    <t>LTM EBIT</t>
  </si>
  <si>
    <t>Tax Rate</t>
  </si>
  <si>
    <t>Leveraged Equity Beta</t>
  </si>
  <si>
    <t>Unleveraged Equity Beta</t>
  </si>
  <si>
    <t>D/E</t>
  </si>
  <si>
    <t>avg</t>
  </si>
  <si>
    <t>med</t>
  </si>
  <si>
    <t>한국항공우주</t>
  </si>
  <si>
    <t>(단위 : 주, %)</t>
  </si>
  <si>
    <t>(단위 : 원)</t>
  </si>
  <si>
    <t>수익(매출액) (주26,33,36,37)</t>
  </si>
  <si>
    <t>현금및현금성자산 (주6,35)</t>
  </si>
  <si>
    <t>매출원가 (주27,33)</t>
  </si>
  <si>
    <t>유동당기손익-공정가치 측정 금융상품 (주5,6,9,35)</t>
  </si>
  <si>
    <t>유동매출채권 (주6,7,26,33)</t>
  </si>
  <si>
    <t>판매비와관리비 (주27,28)</t>
  </si>
  <si>
    <t>유동계약자산 (주7,26)</t>
  </si>
  <si>
    <t>영업이익(손실) (주36)</t>
  </si>
  <si>
    <t>기타유동금융자산 (주6,7,33)</t>
  </si>
  <si>
    <t>기타이익 (주29)</t>
  </si>
  <si>
    <t>기타이익 (주29,33)</t>
  </si>
  <si>
    <t>유동재고자산 (주8)</t>
  </si>
  <si>
    <t>기타손실 (주29)</t>
  </si>
  <si>
    <t>기타손실 (주29,33)</t>
  </si>
  <si>
    <t>당기법인세자산 (주31)</t>
  </si>
  <si>
    <t>금융수익 (주6,30,33)</t>
  </si>
  <si>
    <t>기타유동자산 (주14,33)</t>
  </si>
  <si>
    <t>금융원가 (주6,30)</t>
  </si>
  <si>
    <t>지분법손실 (주10)</t>
  </si>
  <si>
    <t>지분법이익 (주10)</t>
  </si>
  <si>
    <t>비유동당기손익-공정가치 측정 금융상품 (주5,6,9)</t>
  </si>
  <si>
    <t>법인세차감전순이익</t>
  </si>
  <si>
    <t>비유동매출채권 (주6,7,26)</t>
  </si>
  <si>
    <t>법인세비용 (주31)</t>
  </si>
  <si>
    <t>기타비유동금융자산 (주4,6,7,33)</t>
  </si>
  <si>
    <t>당기순이익</t>
  </si>
  <si>
    <t>종속기업, 공동기업과 관계기업에 대한 투자자산 (주10,33)</t>
  </si>
  <si>
    <t>유형자산 (주11,13)</t>
  </si>
  <si>
    <t>무형자산 (주12)</t>
  </si>
  <si>
    <t>해외사업환산외환차이</t>
  </si>
  <si>
    <t>이연법인세자산 (주31)</t>
  </si>
  <si>
    <t>지분법자본변동</t>
  </si>
  <si>
    <t>확정급여제도의 재측정손익(세전기타포괄손익) (주19)</t>
  </si>
  <si>
    <t>기타비유동자산 (주14,33)</t>
  </si>
  <si>
    <t>총포괄손익</t>
  </si>
  <si>
    <t>기타포괄손익관련 법인세효과 (주31)</t>
  </si>
  <si>
    <t>당기순이익의 귀속</t>
  </si>
  <si>
    <t>지배기업의 소유주에게 귀속되는 당기순이익</t>
  </si>
  <si>
    <t>비지배지분에 귀속되는 당기순이익</t>
  </si>
  <si>
    <t>지분법자본변동 (주10)</t>
  </si>
  <si>
    <t>유동매입채무 (주6,15,33)</t>
  </si>
  <si>
    <t>포괄손익의 귀속</t>
  </si>
  <si>
    <t>기타유동금융부채 (주6,13,15,32,33)</t>
  </si>
  <si>
    <t>포괄손익, 지배기업의 소유주에게 귀속되는 지분</t>
  </si>
  <si>
    <t>유동계약부채 (주18,26)</t>
  </si>
  <si>
    <t>포괄손익, 비지배지분</t>
  </si>
  <si>
    <t>단기차입금 (주6,16,32,35)</t>
  </si>
  <si>
    <t>주당이익</t>
  </si>
  <si>
    <t>유동성장기차입금 (주6,16,32,35)</t>
  </si>
  <si>
    <t>기본주당이익 (단위 : 원) (주25)</t>
  </si>
  <si>
    <t>당기법인세부채 (주31)</t>
  </si>
  <si>
    <t>희석주당이익 (단위 : 원) (주25)</t>
  </si>
  <si>
    <t>유동충당부채 (주20,26,34)</t>
  </si>
  <si>
    <t>기타 유동부채 (주17,18)</t>
  </si>
  <si>
    <t>장기차입금 (주6,16,32,35)</t>
  </si>
  <si>
    <t>사채 (주6,16,32,35)</t>
  </si>
  <si>
    <t>기타비유동금융부채 (주6,13,15,32)</t>
  </si>
  <si>
    <t>순확정급여부채 (주19)</t>
  </si>
  <si>
    <t>비유동충당부채 (주20,26,34)</t>
  </si>
  <si>
    <t>기타 비유동 부채 (주17,18)</t>
  </si>
  <si>
    <t>지배기업의 소유주에게 귀속되는 자본</t>
  </si>
  <si>
    <t>주식발행초과금</t>
  </si>
  <si>
    <t>이익잉여금 (주23)</t>
  </si>
  <si>
    <t>기타자본항목 (주24)</t>
  </si>
  <si>
    <t>자본과부채총계</t>
  </si>
  <si>
    <t>15.매입채무 및 기타금융부채</t>
  </si>
  <si>
    <t>매입채무 및 기타채무</t>
  </si>
  <si>
    <t>당분기말</t>
  </si>
  <si>
    <t>공시금액</t>
  </si>
  <si>
    <t>매입채무 및 기타유동채무</t>
  </si>
  <si>
    <t>매입채무</t>
  </si>
  <si>
    <t>단기미지급금</t>
  </si>
  <si>
    <t>유동 리스부채</t>
  </si>
  <si>
    <t>단기미지급비용 (*)</t>
  </si>
  <si>
    <t>현재가치할인차금, 단기미지급비용</t>
  </si>
  <si>
    <t>미지급 배당금</t>
  </si>
  <si>
    <t>소계</t>
  </si>
  <si>
    <t>매입채무 및 기타비유동채무</t>
  </si>
  <si>
    <t>장기미지급금, 총액</t>
  </si>
  <si>
    <t>현재가치할인차금, 장기미지급금</t>
  </si>
  <si>
    <t>비유동 리스부채</t>
  </si>
  <si>
    <t>장기미지급비용, 총액</t>
  </si>
  <si>
    <t>현재가치할인차금, 장기미지급비용</t>
  </si>
  <si>
    <t>두산에너빌리티</t>
  </si>
  <si>
    <t>당사의 정관에 의해 발행할 주식의 총수는 2,000,000,000주입니다.</t>
  </si>
  <si>
    <t>당기말까지 당사가 발행한 주식의 총수는 655,764,686주이며, 이 중 보통주</t>
  </si>
  <si>
    <t>2,000,000주를 감자하고 상환전환우선주(RCPS) 299,330주가 보통주로</t>
  </si>
  <si>
    <t>전환되었으며, 상환전환 우선주 (RCPS) 12,904,210주는 전량 소각하여,</t>
  </si>
  <si>
    <t>당기말 현재 발행주식의 총수는 640,561,146주(보통주)입니다.</t>
  </si>
  <si>
    <t>당기말 현재 유가증권시장에 상장된 주식수는 640,561,146주이며,</t>
  </si>
  <si>
    <t>유통주식수는 자기주식 95,978주를 제외한 640,465,168주입니다.</t>
  </si>
  <si>
    <t>자기주식 취득 후 소각</t>
  </si>
  <si>
    <t>상환전환우선주의 전환</t>
  </si>
  <si>
    <t>분할합병 및 포괄적 주식교환 신주/단주취득</t>
  </si>
  <si>
    <t>※ 최근 5년간 주식 수의 주요 변동내역은 아래와 같습니다.
 - 2020년 02월 06일자로 보통주 44,102,845주를 유상증자(제3자배정)하였습니다.
 - 2020년 03월 10일자로 두산건설㈜의 상장폐지에 따른 포괄적 주식 교환을 위하여 보통주 6,891,058주를 신주 발행하였고,
 발행과정에서 단수주 취득으로 자사주 5,850주를 취득하였습니다.
 - 2020년 12월 12일자로 보통주 121,495,330주를 유상증자(일반공모)하였습니다.
 - 2021년 04월 02일자로 두산퓨얼셀㈜ 현물출자로 보통주 47,843,956주를 유상증자(제3자배정)하였습니다.
 - 2021년 07월 01일자로 두산인프라코어㈜의 투자사업부문 합병에 따라 보통주 83,399,437주가 신규 발행하였고,
 분할합병 발행과정에서 단수주 및 매수청구권 행사로 자사주 81,649주를 취득하였습니다.
 - 2022년 02월 19일자로 보통주 82,872,900주를 유상증자(구주주배정)하였습니다.
 - 2021년 07월 01일자로 발행한 신주인수권부사채의 신주인수권증권(2WR) 행사로 2022.06.30일까지 보통주 12,566,852주가 신규 발행되었습니다.
 - 2022년 07월 01일자로 발행한 신주인수권부사채의 신주인수권증권(2WR) 행사로 보통주 3,014,983주가 신규 발행되었으며,
 신주인수권부사채의 신주인수권증권(2WR)의 행사기간이 종료되었습니다.
 - 2023년 03월 29일자로 제59회, 제60회 전환사채가 전부전환이 되어 보통주 2,253,113주를 신주발행하였습니다.</t>
  </si>
  <si>
    <t>제 63 기 1분기말 2025.03.31 현재</t>
  </si>
  <si>
    <t>제 62 기말 2024.12.31 현재</t>
  </si>
  <si>
    <t>(단위 : 백만원)</t>
  </si>
  <si>
    <t>제 63 기 1분기말</t>
  </si>
  <si>
    <t>제 62 기말</t>
  </si>
  <si>
    <t>현금및현금성자산</t>
  </si>
  <si>
    <t>2-2. 연결 손익계산서</t>
  </si>
  <si>
    <t>단기금융상품</t>
  </si>
  <si>
    <t>연결 손익계산서</t>
  </si>
  <si>
    <t>단기투자증권</t>
  </si>
  <si>
    <t>제 63 기 1분기 2025.01.01 부터 2025.03.31 까지</t>
  </si>
  <si>
    <t>제 62 기 2024.01.01 부터 2024.12.31 까지</t>
  </si>
  <si>
    <t>매출채권</t>
  </si>
  <si>
    <t>제 62 기 1분기 2024.01.01 부터 2024.03.31 까지</t>
  </si>
  <si>
    <t>제 61 기 2023.01.01 부터 2023.12.31 까지</t>
  </si>
  <si>
    <t>미청구공사</t>
  </si>
  <si>
    <t>제 60 기 2022.01.01 부터 2022.12.31 까지</t>
  </si>
  <si>
    <t>미수금</t>
  </si>
  <si>
    <t>제 63 기 1분기</t>
  </si>
  <si>
    <t>제 62 기 1분기</t>
  </si>
  <si>
    <t>선급금</t>
  </si>
  <si>
    <t>제 62 기</t>
  </si>
  <si>
    <t>제 61 기</t>
  </si>
  <si>
    <t>제 60 기</t>
  </si>
  <si>
    <t>선급비용</t>
  </si>
  <si>
    <t>매출액</t>
  </si>
  <si>
    <t>단기대여금</t>
  </si>
  <si>
    <t>매출원가</t>
  </si>
  <si>
    <t>파생상품평가자산</t>
  </si>
  <si>
    <t>확정계약자산</t>
  </si>
  <si>
    <t>판매비와관리비</t>
  </si>
  <si>
    <t>재고자산</t>
  </si>
  <si>
    <t>영업이익</t>
  </si>
  <si>
    <t>매각예정자산</t>
  </si>
  <si>
    <t>금융손익</t>
  </si>
  <si>
    <t>기타유동자산</t>
  </si>
  <si>
    <t>금융수익</t>
  </si>
  <si>
    <t>금융비용</t>
  </si>
  <si>
    <t>장기금융상품</t>
  </si>
  <si>
    <t>기타영업외손익</t>
  </si>
  <si>
    <t>장기투자증권</t>
  </si>
  <si>
    <t>기타영업외수익</t>
  </si>
  <si>
    <t>관계기업 및 공동기업투자</t>
  </si>
  <si>
    <t>기타영업외비용</t>
  </si>
  <si>
    <t>장기대여금</t>
  </si>
  <si>
    <t>지분법이익</t>
  </si>
  <si>
    <t>유형자산</t>
  </si>
  <si>
    <t>법인세비용차감전순이익</t>
  </si>
  <si>
    <t>무형자산</t>
  </si>
  <si>
    <t>법인세비용</t>
  </si>
  <si>
    <t>투자부동산</t>
  </si>
  <si>
    <t>분기순이익(손실)</t>
  </si>
  <si>
    <t>계속영업이익(손실)</t>
  </si>
  <si>
    <t>분기순이익의 귀속</t>
  </si>
  <si>
    <t>중단영업이익(손실)</t>
  </si>
  <si>
    <t>지배기업 소유주지분</t>
  </si>
  <si>
    <t>보증금</t>
  </si>
  <si>
    <t>지배기업 소유주지분 주당손익</t>
  </si>
  <si>
    <t>순확정급여자산</t>
  </si>
  <si>
    <t>기본주당이익 (단위 : 원)</t>
  </si>
  <si>
    <t>기타비유동자산</t>
  </si>
  <si>
    <t>희석주당이익 (단위 : 원)</t>
  </si>
  <si>
    <t>계속영업기본주당이익(손실) (단위 : 원)</t>
  </si>
  <si>
    <t>중단영업기본주당이익(손실) (단위 : 원)</t>
  </si>
  <si>
    <t>단기차입금</t>
  </si>
  <si>
    <t>계속영업희석주당이익(손실) (단위 : 원)</t>
  </si>
  <si>
    <t>미지급금</t>
  </si>
  <si>
    <t>중단영업희석주당이익(손실) (단위 : 원)</t>
  </si>
  <si>
    <t>선수금</t>
  </si>
  <si>
    <t>초과청구공사</t>
  </si>
  <si>
    <t>예수금</t>
  </si>
  <si>
    <t>미지급비용</t>
  </si>
  <si>
    <t>미지급배당금</t>
  </si>
  <si>
    <t>유동성장기부채</t>
  </si>
  <si>
    <t>파생상품평가부채</t>
  </si>
  <si>
    <t>확정계약부채</t>
  </si>
  <si>
    <t>충당부채</t>
  </si>
  <si>
    <t>판매후리스부채</t>
  </si>
  <si>
    <t>기타 유동부채</t>
  </si>
  <si>
    <t>사채</t>
  </si>
  <si>
    <t>장기차입금</t>
  </si>
  <si>
    <t>장기유동화채무</t>
  </si>
  <si>
    <t>장기미지급금</t>
  </si>
  <si>
    <t>순확정급여부채</t>
  </si>
  <si>
    <t>예수보증금</t>
  </si>
  <si>
    <t>비유동판매후리스부채</t>
  </si>
  <si>
    <t>기타비유동부채</t>
  </si>
  <si>
    <t>지배회사 소유주지분</t>
  </si>
  <si>
    <t>자본금</t>
  </si>
  <si>
    <t>자본잉여금</t>
  </si>
  <si>
    <t>기타자본항목</t>
  </si>
  <si>
    <t>기타포괄손익누계액</t>
  </si>
  <si>
    <t>이익잉여금</t>
  </si>
  <si>
    <t>부채와 자본총계</t>
  </si>
  <si>
    <t>한화시스템</t>
  </si>
  <si>
    <t>종류주식</t>
  </si>
  <si>
    <t>제 25 기 2024.01.01 부터 2024.12.31 까지</t>
  </si>
  <si>
    <t>제 26 기 1분기말 2025.03.31 현재</t>
  </si>
  <si>
    <t>제 26 기 1분기 2025.01.01 부터 2025.03.31 까지</t>
  </si>
  <si>
    <t>제 24 기 2023.01.01 부터 2023.12.31 까지</t>
  </si>
  <si>
    <t>제 25 기말 2024.12.31 현재</t>
  </si>
  <si>
    <t>제 25 기 1분기 2024.01.01 부터 2024.03.31 까지</t>
  </si>
  <si>
    <t>제 23 기 2022.01.01 부터 2022.12.31 까지</t>
  </si>
  <si>
    <t>제 26 기 1분기말</t>
  </si>
  <si>
    <t>제 25 기말</t>
  </si>
  <si>
    <t>제 25 기 1분기</t>
  </si>
  <si>
    <t>제 23 기</t>
  </si>
  <si>
    <t>매출채권 및 기타유동채권</t>
  </si>
  <si>
    <t>기타유동금융자산</t>
  </si>
  <si>
    <t>영업이익(손실)</t>
  </si>
  <si>
    <t>기타이익</t>
  </si>
  <si>
    <t>유동재고자산</t>
  </si>
  <si>
    <t>기타손실</t>
  </si>
  <si>
    <t>매각예정 또는 소유주에 대한 분배예정으로 분류된 비유동자산이나 처분자산집단</t>
  </si>
  <si>
    <t>금융원가</t>
  </si>
  <si>
    <t>비유동당기손익인식금융자산</t>
  </si>
  <si>
    <t>지분법손익</t>
  </si>
  <si>
    <t>기타포괄손익-공정가치 측정 비유동금융자산</t>
  </si>
  <si>
    <t>기타비유동금융자산</t>
  </si>
  <si>
    <t>법인세비용(수익)</t>
  </si>
  <si>
    <t>관계기업에 대한 투자자산</t>
  </si>
  <si>
    <t>사용권자산</t>
  </si>
  <si>
    <t>당기순이익(손실)</t>
  </si>
  <si>
    <t>당기순이익(손실)의 귀속</t>
  </si>
  <si>
    <t>비지배지분에 귀속되는 당기순이익(손실)</t>
  </si>
  <si>
    <t>지분법 적용대상 관계기업과 공동기업의 기타포괄손익에 대한 지분(세후기타포괄손익)</t>
  </si>
  <si>
    <t>유동 차입금 및 사채</t>
  </si>
  <si>
    <t>기타유동금융부채</t>
  </si>
  <si>
    <t>세후기타포괄손익, 지분상품에 대한 투자자산</t>
  </si>
  <si>
    <t>유동충당부채</t>
  </si>
  <si>
    <t>매각예정부채</t>
  </si>
  <si>
    <t>비유동 차입금 및 사채</t>
  </si>
  <si>
    <t>기타비유동금융부채</t>
  </si>
  <si>
    <t>퇴직급여부채</t>
  </si>
  <si>
    <t>비유동충당부채</t>
  </si>
  <si>
    <t>기타자본구성요소</t>
  </si>
  <si>
    <t>이익잉여금(결손금)</t>
  </si>
  <si>
    <t>금융부채의 공시</t>
  </si>
  <si>
    <t>금융부채의 범주별 공시</t>
  </si>
  <si>
    <t>파생상품</t>
  </si>
  <si>
    <t>당기손익인식금융부채</t>
  </si>
  <si>
    <t>상각후원가측정금융부채</t>
  </si>
  <si>
    <t>공정가치로 측정하는 금융부채</t>
  </si>
  <si>
    <t>단기미지급비용</t>
  </si>
  <si>
    <t>금융기관 차입금(사채 제외)</t>
  </si>
  <si>
    <t>보증금부채</t>
  </si>
  <si>
    <t>장기미지급비용</t>
  </si>
  <si>
    <t>파생상품부채</t>
  </si>
  <si>
    <t>리스부채</t>
  </si>
  <si>
    <t>금융부채</t>
  </si>
  <si>
    <t>20. 기타금융부채 - 연결 (연결)</t>
  </si>
  <si>
    <t>기타금융부채</t>
  </si>
  <si>
    <t>유동 보증금부채</t>
  </si>
  <si>
    <t>유동으로 분류되는 미지급비용</t>
  </si>
  <si>
    <t>유동파생상품부채</t>
  </si>
  <si>
    <t>비유동 보증금부채</t>
  </si>
  <si>
    <t>비유동으로 분류되는 미지급비용</t>
  </si>
  <si>
    <t>비유동파생상품부채</t>
  </si>
  <si>
    <t>LIG디펜스앤에어로스페이스</t>
  </si>
  <si>
    <t>당사의 정관상 발행가능한 주식의 총수는 100,000,000주이며, 발행한 주식의 총수는 보통주 22,000,000주 입니다. 2024년 12월 31일 기준 및 보고서 제출일 현재 당사가 보통주 외에 발행한 주식은 없습니다.</t>
  </si>
  <si>
    <t>제 24 기 1분기말 2025.03.31 현재</t>
  </si>
  <si>
    <t>제 24 기 1분기 2025.01.01 부터 2025.03.31 까지</t>
  </si>
  <si>
    <t>제 23 기 2024.01.01 부터 2024.12.31 까지</t>
  </si>
  <si>
    <t>제 23 기말 2024.12.31 현재</t>
  </si>
  <si>
    <t>제 23 기 1분기 2024.01.01 부터 2024.03.31 까지</t>
  </si>
  <si>
    <t>제 22 기 2023.01.01 부터 2023.12.31 까지</t>
  </si>
  <si>
    <t>제 21 기 2022.01.01 부터 2022.12.31 까지</t>
  </si>
  <si>
    <t>제 24 기 1분기말</t>
  </si>
  <si>
    <t>제 23 기말</t>
  </si>
  <si>
    <t>제 24 기 1분기</t>
  </si>
  <si>
    <t>제 23 기 1분기</t>
  </si>
  <si>
    <t>제 22 기</t>
  </si>
  <si>
    <t>제 21 기</t>
  </si>
  <si>
    <t>수익(매출액)</t>
  </si>
  <si>
    <t>유동계약자산</t>
  </si>
  <si>
    <t>비유동매출채권</t>
  </si>
  <si>
    <t>후속적으로 당기손익으로 재분류될 수 있는 항목</t>
  </si>
  <si>
    <t>당기손익으로 재분류되는 지분법 적용대상 관계기업과 공동기업의 세후기타포괄손익에 대한 지분</t>
  </si>
  <si>
    <t>후속적으로 당기손익으로 재분류되지 않는 항목</t>
  </si>
  <si>
    <t>유동 차입금(사채 포함)</t>
  </si>
  <si>
    <t>기타포괄손익-공정가치 측정 금융자산 평가손익 적립금</t>
  </si>
  <si>
    <t>단기매입채무</t>
  </si>
  <si>
    <t>세후기타포괄손익, 확정급여제도의 재측정손익</t>
  </si>
  <si>
    <t>유동계약부채</t>
  </si>
  <si>
    <t>세후기타포괄손익, 자산재평가차익(차손)</t>
  </si>
  <si>
    <t>당기손익으로 재분류되지 않는 지분법 적용대상 관계기업과 공동기업의 세후기타포괄손익에 대한 지분</t>
  </si>
  <si>
    <t>장기차입금(사채 포함), 총액</t>
  </si>
  <si>
    <t>비유동계약부채</t>
  </si>
  <si>
    <t>기타 비유동 부채</t>
  </si>
  <si>
    <t>상각후원가로 측정하는 금융부채, 범주</t>
  </si>
  <si>
    <t>유동금융부채의 범주</t>
  </si>
  <si>
    <t>유동매입채무</t>
  </si>
  <si>
    <t>유동 금융부채 합계</t>
  </si>
  <si>
    <t>비유동 금융부채의 범주</t>
  </si>
  <si>
    <t>비유동차입금</t>
  </si>
  <si>
    <t>교환사채</t>
  </si>
  <si>
    <t>비유동 금융부채 합계</t>
  </si>
  <si>
    <t>총 금융부채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</si>
</sst>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0.0000_ "/>
    <numFmt numFmtId="166" formatCode="0.0%"/>
    <numFmt numFmtId="167" formatCode="#,##0_ "/>
    <numFmt numFmtId="168" formatCode="yyyy&quot;년&quot; mm&quot;월&quot; dd&quot;일&quot;"/>
    <numFmt numFmtId="169" formatCode="yyyy&quot;년&quot;\ m&quot;월&quot;\ d&quot;일&quot;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00000"/>
      <name val="Arial"/>
    </font>
    <font>
      <b/>
      <sz val="16.0"/>
      <color rgb="FF0000FF"/>
      <name val="DartNBSP"/>
    </font>
    <font>
      <sz val="12.0"/>
      <color rgb="FF000000"/>
      <name val="DartNBSP"/>
    </font>
    <font>
      <b/>
      <sz val="12.0"/>
      <color rgb="FF000000"/>
      <name val="DartNBSP"/>
    </font>
    <font>
      <sz val="11.0"/>
      <color rgb="FF000000"/>
      <name val="DartNBSP"/>
    </font>
    <font/>
    <font>
      <sz val="10.0"/>
      <color rgb="FF000000"/>
      <name val="DartNBSP"/>
    </font>
    <font>
      <sz val="11.0"/>
      <color theme="0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4"/>
      <name val="Arial"/>
    </font>
    <font>
      <b/>
      <sz val="10.0"/>
      <color rgb="FF000000"/>
      <name val="Arial"/>
    </font>
    <font>
      <b/>
      <sz val="11.0"/>
      <color rgb="FF000000"/>
      <name val="DartNBSP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CDCDC"/>
        <bgColor rgb="FFDCDCDC"/>
      </patternFill>
    </fill>
    <fill>
      <patternFill patternType="solid">
        <fgColor theme="4"/>
        <bgColor theme="4"/>
      </patternFill>
    </fill>
    <fill>
      <patternFill patternType="solid">
        <fgColor rgb="FFD9E6FC"/>
        <bgColor rgb="FFD9E6FC"/>
      </patternFill>
    </fill>
    <fill>
      <patternFill patternType="solid">
        <fgColor theme="0"/>
        <bgColor theme="0"/>
      </patternFill>
    </fill>
  </fills>
  <borders count="31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808080"/>
      </left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</border>
    <border>
      <bottom style="thin">
        <color rgb="FF7F7F7F"/>
      </bottom>
    </border>
    <border>
      <top style="thin">
        <color rgb="FF7F7F7F"/>
      </top>
    </border>
    <border>
      <left/>
      <right/>
      <top style="thin">
        <color rgb="FF7F7F7F"/>
      </top>
      <bottom/>
    </border>
    <border>
      <left/>
      <right/>
      <top/>
      <bottom style="thin">
        <color rgb="FF7F7F7F"/>
      </bottom>
    </border>
    <border>
      <left style="thin">
        <color rgb="FF808080"/>
      </left>
      <right style="thin">
        <color rgb="FF80808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3" xfId="0" applyAlignment="1" applyBorder="1" applyFont="1" applyNumberFormat="1">
      <alignment readingOrder="0"/>
    </xf>
    <xf borderId="8" fillId="3" fontId="2" numFmtId="3" xfId="0" applyAlignment="1" applyBorder="1" applyFill="1" applyFont="1" applyNumberFormat="1">
      <alignment horizontal="right"/>
    </xf>
    <xf borderId="9" fillId="0" fontId="1" numFmtId="3" xfId="0" applyBorder="1" applyFont="1" applyNumberFormat="1"/>
    <xf borderId="10" fillId="0" fontId="1" numFmtId="10" xfId="0" applyBorder="1" applyFont="1" applyNumberFormat="1"/>
    <xf borderId="7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0" fillId="0" fontId="6" numFmtId="0" xfId="0" applyFont="1"/>
    <xf borderId="11" fillId="4" fontId="6" numFmtId="0" xfId="0" applyAlignment="1" applyBorder="1" applyFill="1" applyFont="1">
      <alignment horizontal="center"/>
    </xf>
    <xf borderId="0" fillId="0" fontId="6" numFmtId="0" xfId="0" applyAlignment="1" applyFont="1">
      <alignment horizontal="right"/>
    </xf>
    <xf borderId="12" fillId="5" fontId="6" numFmtId="0" xfId="0" applyAlignment="1" applyBorder="1" applyFill="1" applyFont="1">
      <alignment horizontal="center"/>
    </xf>
    <xf borderId="13" fillId="0" fontId="7" numFmtId="0" xfId="0" applyBorder="1" applyFont="1"/>
    <xf borderId="14" fillId="5" fontId="6" numFmtId="0" xfId="0" applyAlignment="1" applyBorder="1" applyFont="1">
      <alignment horizontal="center"/>
    </xf>
    <xf borderId="15" fillId="0" fontId="7" numFmtId="0" xfId="0" applyBorder="1" applyFont="1"/>
    <xf borderId="16" fillId="0" fontId="7" numFmtId="0" xfId="0" applyBorder="1" applyFont="1"/>
    <xf borderId="17" fillId="5" fontId="6" numFmtId="0" xfId="0" applyAlignment="1" applyBorder="1" applyFont="1">
      <alignment horizontal="center"/>
    </xf>
    <xf borderId="18" fillId="0" fontId="7" numFmtId="0" xfId="0" applyBorder="1" applyFont="1"/>
    <xf borderId="19" fillId="0" fontId="7" numFmtId="0" xfId="0" applyBorder="1" applyFont="1"/>
    <xf borderId="20" fillId="5" fontId="6" numFmtId="0" xfId="0" applyAlignment="1" applyBorder="1" applyFont="1">
      <alignment horizontal="center"/>
    </xf>
    <xf borderId="21" fillId="0" fontId="7" numFmtId="0" xfId="0" applyBorder="1" applyFont="1"/>
    <xf borderId="14" fillId="0" fontId="6" numFmtId="0" xfId="0" applyBorder="1" applyFont="1"/>
    <xf borderId="20" fillId="0" fontId="6" numFmtId="3" xfId="0" applyAlignment="1" applyBorder="1" applyFont="1" applyNumberFormat="1">
      <alignment horizontal="right"/>
    </xf>
    <xf borderId="20" fillId="0" fontId="6" numFmtId="0" xfId="0" applyAlignment="1" applyBorder="1" applyFont="1">
      <alignment horizontal="right"/>
    </xf>
    <xf borderId="20" fillId="0" fontId="8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17" fillId="0" fontId="6" numFmtId="0" xfId="0" applyBorder="1" applyFont="1"/>
    <xf borderId="20" fillId="0" fontId="6" numFmtId="0" xfId="0" applyBorder="1" applyFont="1"/>
    <xf borderId="22" fillId="0" fontId="7" numFmtId="0" xfId="0" applyBorder="1" applyFont="1"/>
    <xf borderId="20" fillId="4" fontId="6" numFmtId="3" xfId="0" applyAlignment="1" applyBorder="1" applyFont="1" applyNumberFormat="1">
      <alignment horizontal="right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20" fillId="0" fontId="6" numFmtId="0" xfId="0" applyAlignment="1" applyBorder="1" applyFont="1">
      <alignment horizontal="left"/>
    </xf>
    <xf borderId="11" fillId="4" fontId="1" numFmtId="0" xfId="0" applyBorder="1" applyFont="1"/>
    <xf borderId="20" fillId="4" fontId="6" numFmtId="0" xfId="0" applyBorder="1" applyFont="1"/>
    <xf borderId="11" fillId="3" fontId="4" numFmtId="0" xfId="0" applyBorder="1" applyFont="1"/>
    <xf borderId="11" fillId="6" fontId="9" numFmtId="0" xfId="0" applyAlignment="1" applyBorder="1" applyFill="1" applyFont="1">
      <alignment horizontal="center"/>
    </xf>
    <xf borderId="0" fillId="0" fontId="10" numFmtId="0" xfId="0" applyFont="1"/>
    <xf borderId="0" fillId="0" fontId="11" numFmtId="165" xfId="0" applyFont="1" applyNumberFormat="1"/>
    <xf borderId="0" fillId="0" fontId="11" numFmtId="3" xfId="0" applyFont="1" applyNumberFormat="1"/>
    <xf borderId="0" fillId="0" fontId="11" numFmtId="166" xfId="0" applyFont="1" applyNumberFormat="1"/>
    <xf borderId="23" fillId="0" fontId="11" numFmtId="0" xfId="0" applyBorder="1" applyFont="1"/>
    <xf borderId="23" fillId="0" fontId="11" numFmtId="165" xfId="0" applyBorder="1" applyFont="1" applyNumberFormat="1"/>
    <xf borderId="23" fillId="0" fontId="11" numFmtId="3" xfId="0" applyBorder="1" applyFont="1" applyNumberFormat="1"/>
    <xf borderId="23" fillId="0" fontId="11" numFmtId="166" xfId="0" applyBorder="1" applyFont="1" applyNumberFormat="1"/>
    <xf borderId="24" fillId="0" fontId="12" numFmtId="0" xfId="0" applyBorder="1" applyFont="1"/>
    <xf borderId="24" fillId="0" fontId="11" numFmtId="165" xfId="0" applyBorder="1" applyFont="1" applyNumberFormat="1"/>
    <xf borderId="24" fillId="0" fontId="11" numFmtId="167" xfId="0" applyBorder="1" applyFont="1" applyNumberFormat="1"/>
    <xf borderId="25" fillId="7" fontId="13" numFmtId="165" xfId="0" applyBorder="1" applyFill="1" applyFont="1" applyNumberFormat="1"/>
    <xf borderId="23" fillId="0" fontId="12" numFmtId="0" xfId="0" applyBorder="1" applyFont="1"/>
    <xf borderId="23" fillId="0" fontId="11" numFmtId="167" xfId="0" applyBorder="1" applyFont="1" applyNumberFormat="1"/>
    <xf borderId="26" fillId="7" fontId="13" numFmtId="165" xfId="0" applyBorder="1" applyFont="1" applyNumberFormat="1"/>
    <xf borderId="11" fillId="8" fontId="6" numFmtId="0" xfId="0" applyAlignment="1" applyBorder="1" applyFill="1" applyFont="1">
      <alignment horizontal="center"/>
    </xf>
    <xf borderId="11" fillId="8" fontId="11" numFmtId="0" xfId="0" applyBorder="1" applyFont="1"/>
    <xf borderId="0" fillId="0" fontId="6" numFmtId="168" xfId="0" applyAlignment="1" applyFont="1" applyNumberFormat="1">
      <alignment horizontal="center"/>
    </xf>
    <xf borderId="14" fillId="5" fontId="6" numFmtId="3" xfId="0" applyAlignment="1" applyBorder="1" applyFont="1" applyNumberFormat="1">
      <alignment horizontal="center"/>
    </xf>
    <xf borderId="27" fillId="5" fontId="6" numFmtId="0" xfId="0" applyAlignment="1" applyBorder="1" applyFont="1">
      <alignment horizontal="center"/>
    </xf>
    <xf borderId="20" fillId="5" fontId="6" numFmtId="3" xfId="0" applyAlignment="1" applyBorder="1" applyFont="1" applyNumberFormat="1">
      <alignment horizontal="center"/>
    </xf>
    <xf borderId="20" fillId="4" fontId="6" numFmtId="0" xfId="0" applyAlignment="1" applyBorder="1" applyFont="1">
      <alignment horizontal="left"/>
    </xf>
    <xf borderId="7" fillId="0" fontId="1" numFmtId="3" xfId="0" applyBorder="1" applyFont="1" applyNumberFormat="1"/>
    <xf borderId="11" fillId="8" fontId="1" numFmtId="0" xfId="0" applyBorder="1" applyFont="1"/>
    <xf borderId="11" fillId="8" fontId="6" numFmtId="168" xfId="0" applyAlignment="1" applyBorder="1" applyFont="1" applyNumberFormat="1">
      <alignment horizontal="center"/>
    </xf>
    <xf borderId="11" fillId="8" fontId="6" numFmtId="0" xfId="0" applyBorder="1" applyFont="1"/>
    <xf borderId="11" fillId="8" fontId="6" numFmtId="0" xfId="0" applyAlignment="1" applyBorder="1" applyFont="1">
      <alignment horizontal="right"/>
    </xf>
    <xf borderId="11" fillId="8" fontId="6" numFmtId="3" xfId="0" applyAlignment="1" applyBorder="1" applyFont="1" applyNumberFormat="1">
      <alignment horizontal="center"/>
    </xf>
    <xf borderId="11" fillId="8" fontId="6" numFmtId="3" xfId="0" applyAlignment="1" applyBorder="1" applyFont="1" applyNumberFormat="1">
      <alignment horizontal="right"/>
    </xf>
    <xf borderId="11" fillId="4" fontId="6" numFmtId="169" xfId="0" applyAlignment="1" applyBorder="1" applyFont="1" applyNumberFormat="1">
      <alignment horizontal="center"/>
    </xf>
    <xf borderId="0" fillId="0" fontId="6" numFmtId="3" xfId="0" applyFont="1" applyNumberFormat="1"/>
    <xf borderId="21" fillId="0" fontId="6" numFmtId="3" xfId="0" applyAlignment="1" applyBorder="1" applyFont="1" applyNumberFormat="1">
      <alignment horizontal="right"/>
    </xf>
    <xf borderId="21" fillId="0" fontId="6" numFmtId="0" xfId="0" applyAlignment="1" applyBorder="1" applyFont="1">
      <alignment horizontal="center"/>
    </xf>
    <xf borderId="0" fillId="0" fontId="8" numFmtId="0" xfId="0" applyAlignment="1" applyFont="1">
      <alignment vertical="top"/>
    </xf>
    <xf borderId="0" fillId="0" fontId="6" numFmtId="3" xfId="0" applyAlignment="1" applyFont="1" applyNumberFormat="1">
      <alignment horizontal="right"/>
    </xf>
    <xf borderId="17" fillId="0" fontId="6" numFmtId="0" xfId="0" applyAlignment="1" applyBorder="1" applyFont="1">
      <alignment horizontal="left"/>
    </xf>
    <xf borderId="17" fillId="0" fontId="6" numFmtId="3" xfId="0" applyAlignment="1" applyBorder="1" applyFont="1" applyNumberFormat="1">
      <alignment horizontal="right"/>
    </xf>
    <xf borderId="28" fillId="0" fontId="6" numFmtId="0" xfId="0" applyAlignment="1" applyBorder="1" applyFont="1">
      <alignment horizontal="left"/>
    </xf>
    <xf borderId="28" fillId="0" fontId="6" numFmtId="3" xfId="0" applyAlignment="1" applyBorder="1" applyFont="1" applyNumberFormat="1">
      <alignment horizontal="right"/>
    </xf>
    <xf borderId="28" fillId="0" fontId="6" numFmtId="0" xfId="0" applyAlignment="1" applyBorder="1" applyFont="1">
      <alignment horizontal="right"/>
    </xf>
    <xf borderId="7" fillId="0" fontId="1" numFmtId="0" xfId="0" applyAlignment="1" applyBorder="1" applyFont="1">
      <alignment readingOrder="0"/>
    </xf>
    <xf borderId="0" fillId="0" fontId="6" numFmtId="169" xfId="0" applyAlignment="1" applyFont="1" applyNumberFormat="1">
      <alignment horizontal="center"/>
    </xf>
    <xf borderId="0" fillId="0" fontId="14" numFmtId="0" xfId="0" applyFont="1"/>
    <xf borderId="11" fillId="4" fontId="1" numFmtId="3" xfId="0" applyBorder="1" applyFont="1" applyNumberFormat="1"/>
    <xf borderId="7" fillId="0" fontId="1" numFmtId="167" xfId="0" applyAlignment="1" applyBorder="1" applyFont="1" applyNumberFormat="1">
      <alignment readingOrder="0"/>
    </xf>
    <xf borderId="8" fillId="3" fontId="2" numFmtId="167" xfId="0" applyAlignment="1" applyBorder="1" applyFont="1" applyNumberFormat="1">
      <alignment horizontal="right"/>
    </xf>
    <xf borderId="9" fillId="0" fontId="1" numFmtId="167" xfId="0" applyBorder="1" applyFont="1" applyNumberFormat="1"/>
    <xf borderId="29" fillId="5" fontId="6" numFmtId="0" xfId="0" applyAlignment="1" applyBorder="1" applyFont="1">
      <alignment horizontal="center"/>
    </xf>
    <xf borderId="30" fillId="5" fontId="6" numFmtId="0" xfId="0" applyAlignment="1" applyBorder="1" applyFont="1">
      <alignment horizontal="center"/>
    </xf>
    <xf borderId="1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342900</xdr:colOff>
      <xdr:row>10</xdr:row>
      <xdr:rowOff>28575</xdr:rowOff>
    </xdr:from>
    <xdr:ext cx="3790950" cy="32480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7</xdr:row>
      <xdr:rowOff>66675</xdr:rowOff>
    </xdr:from>
    <xdr:ext cx="4876800" cy="33051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10</xdr:row>
      <xdr:rowOff>38100</xdr:rowOff>
    </xdr:from>
    <xdr:ext cx="4010025" cy="339090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7</xdr:row>
      <xdr:rowOff>133350</xdr:rowOff>
    </xdr:from>
    <xdr:ext cx="4876800" cy="36004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609600</xdr:colOff>
      <xdr:row>6</xdr:row>
      <xdr:rowOff>171450</xdr:rowOff>
    </xdr:from>
    <xdr:ext cx="4867275" cy="38766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88"/>
    <col customWidth="1" min="3" max="3" width="15.38"/>
    <col customWidth="1" min="4" max="26" width="11.0"/>
  </cols>
  <sheetData>
    <row r="1" ht="15.75" customHeight="1">
      <c r="A1" s="1" t="s">
        <v>0</v>
      </c>
    </row>
    <row r="2" ht="15.75" customHeight="1">
      <c r="A2" s="2">
        <v>45777.0</v>
      </c>
    </row>
    <row r="3" ht="15.75" customHeight="1"/>
    <row r="4" ht="15.75" customHeight="1">
      <c r="G4" s="3" t="s">
        <v>1</v>
      </c>
      <c r="I4" s="1" t="s">
        <v>2</v>
      </c>
    </row>
    <row r="5" ht="15.75" customHeight="1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I5" s="7" t="s">
        <v>9</v>
      </c>
      <c r="J5" s="8"/>
      <c r="K5" s="8"/>
      <c r="L5" s="8"/>
      <c r="M5" s="9"/>
    </row>
    <row r="6" ht="15.75" customHeight="1">
      <c r="B6" s="10">
        <v>105000.0</v>
      </c>
      <c r="C6" s="11">
        <f>D24</f>
        <v>109142</v>
      </c>
      <c r="D6" s="12">
        <f>(B6*C6)/10^6</f>
        <v>11459.91</v>
      </c>
      <c r="E6" s="12">
        <f>SUMIF(A:A,E5,C:C)/10^3</f>
        <v>252879.681</v>
      </c>
      <c r="F6" s="12">
        <f>(H41+N41-J41)/1000</f>
        <v>614734.589</v>
      </c>
      <c r="G6" s="13">
        <v>0.264</v>
      </c>
      <c r="I6" s="14"/>
      <c r="J6" s="15"/>
      <c r="K6" s="15"/>
      <c r="L6" s="15"/>
      <c r="M6" s="16"/>
    </row>
    <row r="7" ht="15.75" customHeight="1"/>
    <row r="8" ht="15.75" customHeight="1"/>
    <row r="9" ht="15.75" customHeight="1">
      <c r="B9" s="17" t="s">
        <v>10</v>
      </c>
    </row>
    <row r="10" ht="15.75" customHeight="1">
      <c r="B10" s="18"/>
    </row>
    <row r="11" ht="15.75" customHeight="1">
      <c r="B11" s="19" t="s">
        <v>11</v>
      </c>
    </row>
    <row r="12" ht="15.75" customHeight="1">
      <c r="B12" s="20" t="s">
        <v>12</v>
      </c>
      <c r="C12" s="21" t="s">
        <v>13</v>
      </c>
      <c r="D12" s="20" t="s">
        <v>14</v>
      </c>
      <c r="E12" s="22" t="s">
        <v>15</v>
      </c>
    </row>
    <row r="13" ht="15.75" customHeight="1">
      <c r="B13" s="23" t="s">
        <v>16</v>
      </c>
      <c r="C13" s="24"/>
      <c r="D13" s="25" t="s">
        <v>17</v>
      </c>
      <c r="E13" s="26"/>
      <c r="F13" s="27"/>
      <c r="G13" s="28" t="s">
        <v>18</v>
      </c>
    </row>
    <row r="14" ht="15.75" customHeight="1">
      <c r="B14" s="29"/>
      <c r="C14" s="30"/>
      <c r="D14" s="31" t="s">
        <v>19</v>
      </c>
      <c r="E14" s="31" t="s">
        <v>20</v>
      </c>
      <c r="F14" s="31" t="s">
        <v>21</v>
      </c>
      <c r="G14" s="32"/>
    </row>
    <row r="15" ht="15.75" customHeight="1">
      <c r="B15" s="33" t="s">
        <v>22</v>
      </c>
      <c r="C15" s="27"/>
      <c r="D15" s="34">
        <v>200000.0</v>
      </c>
      <c r="E15" s="35" t="s">
        <v>23</v>
      </c>
      <c r="F15" s="34">
        <v>200000.0</v>
      </c>
      <c r="G15" s="36" t="s">
        <v>24</v>
      </c>
    </row>
    <row r="16" ht="15.75" customHeight="1">
      <c r="B16" s="33" t="s">
        <v>25</v>
      </c>
      <c r="C16" s="27"/>
      <c r="D16" s="34">
        <v>115742.0</v>
      </c>
      <c r="E16" s="35" t="s">
        <v>23</v>
      </c>
      <c r="F16" s="34">
        <v>115742.0</v>
      </c>
      <c r="G16" s="37" t="s">
        <v>23</v>
      </c>
    </row>
    <row r="17" ht="15.75" customHeight="1">
      <c r="B17" s="33" t="s">
        <v>26</v>
      </c>
      <c r="C17" s="27"/>
      <c r="D17" s="34">
        <v>6600.0</v>
      </c>
      <c r="E17" s="35" t="s">
        <v>23</v>
      </c>
      <c r="F17" s="34">
        <v>6600.0</v>
      </c>
      <c r="G17" s="37" t="s">
        <v>23</v>
      </c>
    </row>
    <row r="18" ht="15.75" customHeight="1">
      <c r="B18" s="38"/>
      <c r="C18" s="39" t="s">
        <v>27</v>
      </c>
      <c r="D18" s="34">
        <v>6600.0</v>
      </c>
      <c r="E18" s="35" t="s">
        <v>23</v>
      </c>
      <c r="F18" s="34">
        <v>6600.0</v>
      </c>
      <c r="G18" s="37" t="s">
        <v>23</v>
      </c>
    </row>
    <row r="19" ht="15.75" customHeight="1">
      <c r="B19" s="40"/>
      <c r="C19" s="39" t="s">
        <v>28</v>
      </c>
      <c r="D19" s="35" t="s">
        <v>23</v>
      </c>
      <c r="E19" s="35" t="s">
        <v>23</v>
      </c>
      <c r="F19" s="35" t="s">
        <v>23</v>
      </c>
      <c r="G19" s="37" t="s">
        <v>23</v>
      </c>
    </row>
    <row r="20" ht="15.75" customHeight="1">
      <c r="B20" s="40"/>
      <c r="C20" s="39" t="s">
        <v>29</v>
      </c>
      <c r="D20" s="35" t="s">
        <v>23</v>
      </c>
      <c r="E20" s="35" t="s">
        <v>23</v>
      </c>
      <c r="F20" s="35" t="s">
        <v>23</v>
      </c>
      <c r="G20" s="37" t="s">
        <v>23</v>
      </c>
    </row>
    <row r="21" ht="15.75" customHeight="1">
      <c r="B21" s="32"/>
      <c r="C21" s="39" t="s">
        <v>30</v>
      </c>
      <c r="D21" s="35" t="s">
        <v>23</v>
      </c>
      <c r="E21" s="35" t="s">
        <v>23</v>
      </c>
      <c r="F21" s="35" t="s">
        <v>23</v>
      </c>
      <c r="G21" s="37" t="s">
        <v>23</v>
      </c>
    </row>
    <row r="22" ht="15.75" customHeight="1">
      <c r="B22" s="33" t="s">
        <v>31</v>
      </c>
      <c r="C22" s="27"/>
      <c r="D22" s="34">
        <v>109142.0</v>
      </c>
      <c r="E22" s="35" t="s">
        <v>23</v>
      </c>
      <c r="F22" s="34">
        <v>109142.0</v>
      </c>
      <c r="G22" s="37" t="s">
        <v>23</v>
      </c>
    </row>
    <row r="23" ht="15.75" customHeight="1">
      <c r="B23" s="33" t="s">
        <v>32</v>
      </c>
      <c r="C23" s="27"/>
      <c r="D23" s="35" t="s">
        <v>23</v>
      </c>
      <c r="E23" s="35" t="s">
        <v>23</v>
      </c>
      <c r="F23" s="35" t="s">
        <v>23</v>
      </c>
      <c r="G23" s="37" t="s">
        <v>23</v>
      </c>
    </row>
    <row r="24" ht="15.75" customHeight="1">
      <c r="B24" s="33" t="s">
        <v>33</v>
      </c>
      <c r="C24" s="27"/>
      <c r="D24" s="41">
        <v>109142.0</v>
      </c>
      <c r="E24" s="35" t="s">
        <v>23</v>
      </c>
      <c r="F24" s="34">
        <v>109142.0</v>
      </c>
      <c r="G24" s="37" t="s">
        <v>23</v>
      </c>
    </row>
    <row r="25" ht="15.75" customHeight="1">
      <c r="B25" s="33" t="s">
        <v>34</v>
      </c>
      <c r="C25" s="27"/>
      <c r="D25" s="35" t="s">
        <v>23</v>
      </c>
      <c r="E25" s="35" t="s">
        <v>23</v>
      </c>
      <c r="F25" s="35" t="s">
        <v>23</v>
      </c>
      <c r="G25" s="37" t="s">
        <v>23</v>
      </c>
    </row>
    <row r="26" ht="15.75" customHeight="1">
      <c r="B26" s="20"/>
    </row>
    <row r="27" ht="15.75" customHeight="1"/>
    <row r="28" ht="15.75" customHeight="1"/>
    <row r="29" ht="15.75" customHeight="1"/>
    <row r="30" ht="15.75" customHeight="1">
      <c r="B30" s="42" t="s">
        <v>35</v>
      </c>
      <c r="G30" s="42" t="s">
        <v>36</v>
      </c>
      <c r="M30" s="42" t="s">
        <v>36</v>
      </c>
    </row>
    <row r="31" ht="15.75" customHeight="1">
      <c r="B31" s="43" t="s">
        <v>37</v>
      </c>
      <c r="G31" s="43" t="s">
        <v>38</v>
      </c>
      <c r="M31" s="43" t="s">
        <v>38</v>
      </c>
    </row>
    <row r="32" ht="15.75" customHeight="1">
      <c r="B32" s="44" t="s">
        <v>39</v>
      </c>
      <c r="G32" s="44" t="s">
        <v>40</v>
      </c>
      <c r="M32" s="44" t="s">
        <v>41</v>
      </c>
    </row>
    <row r="33" ht="15.75" customHeight="1">
      <c r="B33" s="44" t="s">
        <v>42</v>
      </c>
      <c r="G33" s="44" t="s">
        <v>43</v>
      </c>
      <c r="M33" s="44" t="s">
        <v>44</v>
      </c>
    </row>
    <row r="34" ht="15.75" customHeight="1">
      <c r="B34" s="22" t="s">
        <v>45</v>
      </c>
      <c r="G34" s="22" t="s">
        <v>45</v>
      </c>
      <c r="M34" s="44" t="s">
        <v>46</v>
      </c>
    </row>
    <row r="35" ht="15.75" customHeight="1">
      <c r="B35" s="31"/>
      <c r="C35" s="31" t="s">
        <v>47</v>
      </c>
      <c r="D35" s="31" t="s">
        <v>48</v>
      </c>
      <c r="G35" s="28"/>
      <c r="H35" s="25" t="s">
        <v>49</v>
      </c>
      <c r="I35" s="27"/>
      <c r="J35" s="25" t="s">
        <v>50</v>
      </c>
      <c r="K35" s="27"/>
      <c r="M35" s="22" t="s">
        <v>45</v>
      </c>
    </row>
    <row r="36" ht="15.75" customHeight="1">
      <c r="B36" s="39" t="s">
        <v>51</v>
      </c>
      <c r="C36" s="35"/>
      <c r="D36" s="35"/>
      <c r="G36" s="32"/>
      <c r="H36" s="31" t="s">
        <v>52</v>
      </c>
      <c r="I36" s="31" t="s">
        <v>53</v>
      </c>
      <c r="J36" s="31" t="s">
        <v>52</v>
      </c>
      <c r="K36" s="31" t="s">
        <v>53</v>
      </c>
      <c r="M36" s="31"/>
      <c r="N36" s="31" t="s">
        <v>54</v>
      </c>
      <c r="O36" s="31" t="s">
        <v>55</v>
      </c>
      <c r="P36" s="31" t="s">
        <v>56</v>
      </c>
    </row>
    <row r="37" ht="15.75" customHeight="1">
      <c r="B37" s="39" t="s">
        <v>57</v>
      </c>
      <c r="C37" s="34">
        <v>3.679870454E9</v>
      </c>
      <c r="D37" s="34">
        <v>3.68631673E9</v>
      </c>
      <c r="G37" s="39" t="s">
        <v>58</v>
      </c>
      <c r="H37" s="34">
        <v>1.176141098E9</v>
      </c>
      <c r="I37" s="34">
        <v>1.176141098E9</v>
      </c>
      <c r="J37" s="34">
        <v>7.47779451E8</v>
      </c>
      <c r="K37" s="34">
        <v>7.47779451E8</v>
      </c>
      <c r="M37" s="45" t="s">
        <v>58</v>
      </c>
      <c r="N37" s="34">
        <v>4.376597857E9</v>
      </c>
      <c r="O37" s="34">
        <v>3.587382453E9</v>
      </c>
      <c r="P37" s="34">
        <v>3.163343615E9</v>
      </c>
    </row>
    <row r="38" ht="15.75" customHeight="1">
      <c r="B38" s="39" t="s">
        <v>59</v>
      </c>
      <c r="C38" s="34">
        <v>4.91247668E8</v>
      </c>
      <c r="D38" s="34">
        <v>4.72258339E8</v>
      </c>
      <c r="G38" s="39" t="s">
        <v>60</v>
      </c>
      <c r="H38" s="34">
        <v>8.89997959E8</v>
      </c>
      <c r="I38" s="34">
        <v>8.89997959E8</v>
      </c>
      <c r="J38" s="34">
        <v>6.43123856E8</v>
      </c>
      <c r="K38" s="34">
        <v>6.43123856E8</v>
      </c>
      <c r="M38" s="45" t="s">
        <v>60</v>
      </c>
      <c r="N38" s="34">
        <v>3.547550219E9</v>
      </c>
      <c r="O38" s="34">
        <v>3.122984003E9</v>
      </c>
      <c r="P38" s="34">
        <v>2.797911962E9</v>
      </c>
    </row>
    <row r="39" ht="15.75" customHeight="1">
      <c r="B39" s="39" t="s">
        <v>61</v>
      </c>
      <c r="C39" s="34">
        <v>7.24917369E8</v>
      </c>
      <c r="D39" s="34">
        <v>9.09369742E8</v>
      </c>
      <c r="G39" s="39" t="s">
        <v>62</v>
      </c>
      <c r="H39" s="34">
        <v>2.86143139E8</v>
      </c>
      <c r="I39" s="34">
        <v>2.86143139E8</v>
      </c>
      <c r="J39" s="34">
        <v>1.04655595E8</v>
      </c>
      <c r="K39" s="34">
        <v>1.04655595E8</v>
      </c>
      <c r="M39" s="45" t="s">
        <v>62</v>
      </c>
      <c r="N39" s="34">
        <v>8.29047638E8</v>
      </c>
      <c r="O39" s="34">
        <v>4.6439845E8</v>
      </c>
      <c r="P39" s="34">
        <v>3.65431653E8</v>
      </c>
    </row>
    <row r="40" ht="15.75" customHeight="1">
      <c r="B40" s="39" t="s">
        <v>63</v>
      </c>
      <c r="C40" s="34">
        <v>6.1559596E7</v>
      </c>
      <c r="D40" s="34">
        <v>5.576735E7</v>
      </c>
      <c r="G40" s="39" t="s">
        <v>64</v>
      </c>
      <c r="H40" s="34">
        <v>8.3290471E7</v>
      </c>
      <c r="I40" s="34">
        <v>8.3290471E7</v>
      </c>
      <c r="J40" s="34">
        <v>5.9971982E7</v>
      </c>
      <c r="K40" s="34">
        <v>5.9971982E7</v>
      </c>
      <c r="M40" s="45" t="s">
        <v>64</v>
      </c>
      <c r="N40" s="34">
        <v>3.72482104E8</v>
      </c>
      <c r="O40" s="34">
        <v>2.54351856E8</v>
      </c>
      <c r="P40" s="34">
        <v>2.17944984E8</v>
      </c>
    </row>
    <row r="41" ht="15.75" customHeight="1">
      <c r="B41" s="39" t="s">
        <v>65</v>
      </c>
      <c r="C41" s="34">
        <v>8.05573731E8</v>
      </c>
      <c r="D41" s="34">
        <v>8.02137829E8</v>
      </c>
      <c r="G41" s="39" t="s">
        <v>66</v>
      </c>
      <c r="H41" s="41">
        <v>2.02852668E8</v>
      </c>
      <c r="I41" s="41">
        <v>2.02852668E8</v>
      </c>
      <c r="J41" s="34">
        <v>4.4683613E7</v>
      </c>
      <c r="K41" s="34">
        <v>4.4683613E7</v>
      </c>
      <c r="M41" s="45" t="s">
        <v>66</v>
      </c>
      <c r="N41" s="41">
        <v>4.56565534E8</v>
      </c>
      <c r="O41" s="34">
        <v>2.10046594E8</v>
      </c>
      <c r="P41" s="34">
        <v>1.47486669E8</v>
      </c>
    </row>
    <row r="42" ht="15.75" customHeight="1">
      <c r="B42" s="39" t="s">
        <v>67</v>
      </c>
      <c r="C42" s="34">
        <v>2.94935032E8</v>
      </c>
      <c r="D42" s="34">
        <v>2.98218173E8</v>
      </c>
      <c r="G42" s="39" t="s">
        <v>68</v>
      </c>
      <c r="H42" s="34">
        <v>9355776.0</v>
      </c>
      <c r="I42" s="34">
        <v>9355776.0</v>
      </c>
      <c r="J42" s="34">
        <v>1.6489906E7</v>
      </c>
      <c r="K42" s="34">
        <v>1.6489906E7</v>
      </c>
      <c r="M42" s="45" t="s">
        <v>68</v>
      </c>
      <c r="N42" s="34">
        <v>1.14050169E8</v>
      </c>
      <c r="O42" s="34">
        <v>8.2308356E7</v>
      </c>
      <c r="P42" s="34">
        <v>9.9193218E7</v>
      </c>
    </row>
    <row r="43" ht="15.75" customHeight="1">
      <c r="B43" s="39" t="s">
        <v>69</v>
      </c>
      <c r="C43" s="34">
        <v>4.14002821E8</v>
      </c>
      <c r="D43" s="34">
        <v>3.1563586E8</v>
      </c>
      <c r="G43" s="39" t="s">
        <v>70</v>
      </c>
      <c r="H43" s="34">
        <v>2.1700992E7</v>
      </c>
      <c r="I43" s="34">
        <v>2.1700992E7</v>
      </c>
      <c r="J43" s="34">
        <v>1.3866557E7</v>
      </c>
      <c r="K43" s="34">
        <v>1.3866557E7</v>
      </c>
      <c r="M43" s="45" t="s">
        <v>70</v>
      </c>
      <c r="N43" s="34">
        <v>8.4254421E7</v>
      </c>
      <c r="O43" s="34">
        <v>1.11691312E8</v>
      </c>
      <c r="P43" s="34">
        <v>9.4560825E7</v>
      </c>
    </row>
    <row r="44" ht="15.75" customHeight="1">
      <c r="B44" s="39" t="s">
        <v>71</v>
      </c>
      <c r="C44" s="34">
        <v>1243180.0</v>
      </c>
      <c r="D44" s="34">
        <v>1104397.0</v>
      </c>
      <c r="G44" s="39" t="s">
        <v>72</v>
      </c>
      <c r="H44" s="34">
        <v>2.3305785E7</v>
      </c>
      <c r="I44" s="34">
        <v>2.3305785E7</v>
      </c>
      <c r="J44" s="34">
        <v>2.5614528E7</v>
      </c>
      <c r="K44" s="34">
        <v>2.5614528E7</v>
      </c>
      <c r="M44" s="45" t="s">
        <v>72</v>
      </c>
      <c r="N44" s="34">
        <v>7.5210934E7</v>
      </c>
      <c r="O44" s="34">
        <v>4.7601139E7</v>
      </c>
      <c r="P44" s="34">
        <v>2.8547869E7</v>
      </c>
    </row>
    <row r="45" ht="15.75" customHeight="1">
      <c r="B45" s="39" t="s">
        <v>73</v>
      </c>
      <c r="C45" s="34">
        <v>8.86391057E8</v>
      </c>
      <c r="D45" s="34">
        <v>8.3182504E8</v>
      </c>
      <c r="G45" s="39" t="s">
        <v>74</v>
      </c>
      <c r="H45" s="34">
        <v>1.1159778E7</v>
      </c>
      <c r="I45" s="34">
        <v>1.1159778E7</v>
      </c>
      <c r="J45" s="34">
        <v>1.8576411E7</v>
      </c>
      <c r="K45" s="34">
        <v>1.8576411E7</v>
      </c>
      <c r="M45" s="45" t="s">
        <v>74</v>
      </c>
      <c r="N45" s="34">
        <v>5.1904505E7</v>
      </c>
      <c r="O45" s="34">
        <v>4.7230751E7</v>
      </c>
      <c r="P45" s="34">
        <v>7.6639752E7</v>
      </c>
    </row>
    <row r="46" ht="15.75" customHeight="1">
      <c r="B46" s="39" t="s">
        <v>75</v>
      </c>
      <c r="C46" s="34">
        <v>1.564572067E9</v>
      </c>
      <c r="D46" s="34">
        <v>1.59907801E9</v>
      </c>
      <c r="G46" s="39" t="s">
        <v>76</v>
      </c>
      <c r="H46" s="34">
        <v>-21018.0</v>
      </c>
      <c r="I46" s="34">
        <v>-21018.0</v>
      </c>
      <c r="J46" s="34">
        <v>-12317.0</v>
      </c>
      <c r="K46" s="34">
        <v>-12317.0</v>
      </c>
      <c r="M46" s="45" t="s">
        <v>76</v>
      </c>
      <c r="N46" s="34">
        <v>-106623.0</v>
      </c>
      <c r="O46" s="34">
        <v>-193203.0</v>
      </c>
      <c r="P46" s="34">
        <v>-146542.0</v>
      </c>
    </row>
    <row r="47" ht="15.75" customHeight="1">
      <c r="B47" s="39" t="s">
        <v>77</v>
      </c>
      <c r="C47" s="34">
        <v>2.5591121E7</v>
      </c>
      <c r="D47" s="34">
        <v>5.922828E7</v>
      </c>
      <c r="G47" s="39" t="s">
        <v>78</v>
      </c>
      <c r="H47" s="34">
        <v>2.02632441E8</v>
      </c>
      <c r="I47" s="34">
        <v>2.02632441E8</v>
      </c>
      <c r="J47" s="34">
        <v>5.4332762E7</v>
      </c>
      <c r="K47" s="34">
        <v>5.4332762E7</v>
      </c>
      <c r="M47" s="45" t="s">
        <v>78</v>
      </c>
      <c r="N47" s="34">
        <v>5.09561088E8</v>
      </c>
      <c r="O47" s="34">
        <v>1.80840823E8</v>
      </c>
      <c r="P47" s="34">
        <v>1.03880637E8</v>
      </c>
    </row>
    <row r="48" ht="15.75" customHeight="1">
      <c r="B48" s="39" t="s">
        <v>79</v>
      </c>
      <c r="C48" s="34">
        <v>1.6571515E7</v>
      </c>
      <c r="D48" s="34">
        <v>1.664309E7</v>
      </c>
      <c r="G48" s="39" t="s">
        <v>80</v>
      </c>
      <c r="H48" s="34">
        <v>4.5486441E7</v>
      </c>
      <c r="I48" s="34">
        <v>4.5486441E7</v>
      </c>
      <c r="J48" s="34">
        <v>-1299913.0</v>
      </c>
      <c r="K48" s="34">
        <v>-1299913.0</v>
      </c>
      <c r="M48" s="45" t="s">
        <v>80</v>
      </c>
      <c r="N48" s="34">
        <v>1.04301674E8</v>
      </c>
      <c r="O48" s="34">
        <v>2.4061845E7</v>
      </c>
      <c r="P48" s="34">
        <v>-9.0653616E7</v>
      </c>
    </row>
    <row r="49" ht="15.75" customHeight="1">
      <c r="B49" s="39" t="s">
        <v>81</v>
      </c>
      <c r="C49" s="34">
        <v>5.5954903E7</v>
      </c>
      <c r="D49" s="34">
        <v>5.3936705E7</v>
      </c>
      <c r="G49" s="39" t="s">
        <v>82</v>
      </c>
      <c r="H49" s="34">
        <v>1.57146E8</v>
      </c>
      <c r="I49" s="34">
        <v>1.57146E8</v>
      </c>
      <c r="J49" s="34">
        <v>5.5632675E7</v>
      </c>
      <c r="K49" s="34">
        <v>5.5632675E7</v>
      </c>
      <c r="M49" s="45" t="s">
        <v>83</v>
      </c>
      <c r="N49" s="34">
        <v>4.05259414E8</v>
      </c>
      <c r="O49" s="34">
        <v>1.56778978E8</v>
      </c>
      <c r="P49" s="34">
        <v>1.94534253E8</v>
      </c>
    </row>
    <row r="50" ht="15.75" customHeight="1">
      <c r="B50" s="39" t="s">
        <v>84</v>
      </c>
      <c r="C50" s="34">
        <v>1.311018089E9</v>
      </c>
      <c r="D50" s="34">
        <v>1.292029942E9</v>
      </c>
      <c r="G50" s="39" t="s">
        <v>85</v>
      </c>
      <c r="H50" s="34">
        <v>2926292.0</v>
      </c>
      <c r="I50" s="34">
        <v>2926292.0</v>
      </c>
      <c r="J50" s="34">
        <v>436256.0</v>
      </c>
      <c r="K50" s="34">
        <v>436256.0</v>
      </c>
      <c r="M50" s="45" t="s">
        <v>85</v>
      </c>
      <c r="N50" s="34">
        <v>-3.2236151E7</v>
      </c>
      <c r="O50" s="34">
        <v>-1273413.0</v>
      </c>
      <c r="P50" s="34">
        <v>2.8691238E7</v>
      </c>
    </row>
    <row r="51" ht="15.75" customHeight="1">
      <c r="B51" s="39" t="s">
        <v>86</v>
      </c>
      <c r="C51" s="34">
        <v>9974553.0</v>
      </c>
      <c r="D51" s="34">
        <v>9974553.0</v>
      </c>
      <c r="G51" s="39" t="s">
        <v>87</v>
      </c>
      <c r="H51" s="34">
        <v>271700.0</v>
      </c>
      <c r="I51" s="34">
        <v>271700.0</v>
      </c>
      <c r="J51" s="34">
        <v>49389.0</v>
      </c>
      <c r="K51" s="34">
        <v>49389.0</v>
      </c>
      <c r="M51" s="45" t="s">
        <v>87</v>
      </c>
      <c r="N51" s="34">
        <v>-2.4820138E7</v>
      </c>
      <c r="O51" s="34">
        <v>-1.1286185E7</v>
      </c>
      <c r="P51" s="34">
        <v>2.259437E7</v>
      </c>
    </row>
    <row r="52" ht="15.75" customHeight="1">
      <c r="B52" s="39" t="s">
        <v>88</v>
      </c>
      <c r="C52" s="34">
        <v>2.4192062E7</v>
      </c>
      <c r="D52" s="34">
        <v>2.6075523E7</v>
      </c>
      <c r="G52" s="39" t="s">
        <v>89</v>
      </c>
      <c r="H52" s="34">
        <v>271700.0</v>
      </c>
      <c r="I52" s="34">
        <v>271700.0</v>
      </c>
      <c r="J52" s="34">
        <v>49389.0</v>
      </c>
      <c r="K52" s="34">
        <v>49389.0</v>
      </c>
      <c r="M52" s="45" t="s">
        <v>89</v>
      </c>
      <c r="N52" s="34">
        <v>-2.4820138E7</v>
      </c>
      <c r="O52" s="34">
        <v>-1.157527E7</v>
      </c>
      <c r="P52" s="34">
        <v>1.8193056E7</v>
      </c>
    </row>
    <row r="53" ht="15.75" customHeight="1">
      <c r="B53" s="39" t="s">
        <v>90</v>
      </c>
      <c r="C53" s="34">
        <v>1.03884846E8</v>
      </c>
      <c r="D53" s="34">
        <v>1.04143662E8</v>
      </c>
      <c r="G53" s="39" t="s">
        <v>91</v>
      </c>
      <c r="H53" s="34">
        <v>2654592.0</v>
      </c>
      <c r="I53" s="34">
        <v>2654592.0</v>
      </c>
      <c r="J53" s="34">
        <v>386867.0</v>
      </c>
      <c r="K53" s="34">
        <v>386867.0</v>
      </c>
      <c r="M53" s="45" t="s">
        <v>92</v>
      </c>
      <c r="N53" s="35">
        <v>0.0</v>
      </c>
      <c r="O53" s="34">
        <v>289085.0</v>
      </c>
      <c r="P53" s="34">
        <v>639987.0</v>
      </c>
    </row>
    <row r="54" ht="15.75" customHeight="1">
      <c r="B54" s="39" t="s">
        <v>93</v>
      </c>
      <c r="C54" s="34">
        <v>1221591.0</v>
      </c>
      <c r="D54" s="34">
        <v>1242609.0</v>
      </c>
      <c r="G54" s="39" t="s">
        <v>94</v>
      </c>
      <c r="H54" s="34">
        <v>2654592.0</v>
      </c>
      <c r="I54" s="34">
        <v>2654592.0</v>
      </c>
      <c r="J54" s="34">
        <v>386867.0</v>
      </c>
      <c r="K54" s="34">
        <v>386867.0</v>
      </c>
      <c r="M54" s="45" t="s">
        <v>95</v>
      </c>
      <c r="N54" s="35">
        <v>0.0</v>
      </c>
      <c r="O54" s="35">
        <v>0.0</v>
      </c>
      <c r="P54" s="34">
        <v>3761327.0</v>
      </c>
    </row>
    <row r="55" ht="15.75" customHeight="1">
      <c r="B55" s="39" t="s">
        <v>96</v>
      </c>
      <c r="C55" s="35">
        <v>0.0</v>
      </c>
      <c r="D55" s="34">
        <v>1.4499464E7</v>
      </c>
      <c r="G55" s="39" t="s">
        <v>97</v>
      </c>
      <c r="H55" s="34">
        <v>1.60072292E8</v>
      </c>
      <c r="I55" s="34">
        <v>1.60072292E8</v>
      </c>
      <c r="J55" s="34">
        <v>5.6068931E7</v>
      </c>
      <c r="K55" s="34">
        <v>5.6068931E7</v>
      </c>
      <c r="M55" s="45" t="s">
        <v>91</v>
      </c>
      <c r="N55" s="34">
        <v>-7416013.0</v>
      </c>
      <c r="O55" s="34">
        <v>1.0012772E7</v>
      </c>
      <c r="P55" s="34">
        <v>6096868.0</v>
      </c>
    </row>
    <row r="56" ht="15.75" customHeight="1">
      <c r="B56" s="39" t="s">
        <v>98</v>
      </c>
      <c r="C56" s="34">
        <v>1.509766E7</v>
      </c>
      <c r="D56" s="34">
        <v>1.8579851E7</v>
      </c>
      <c r="G56" s="39" t="s">
        <v>99</v>
      </c>
      <c r="H56" s="35"/>
      <c r="I56" s="35"/>
      <c r="J56" s="35"/>
      <c r="K56" s="35"/>
      <c r="M56" s="45" t="s">
        <v>100</v>
      </c>
      <c r="N56" s="35">
        <v>0.0</v>
      </c>
      <c r="O56" s="35">
        <v>0.0</v>
      </c>
      <c r="P56" s="34">
        <v>1262933.0</v>
      </c>
    </row>
    <row r="57" ht="15.75" customHeight="1">
      <c r="B57" s="39" t="s">
        <v>101</v>
      </c>
      <c r="C57" s="34">
        <v>1065727.0</v>
      </c>
      <c r="D57" s="34">
        <v>2724331.0</v>
      </c>
      <c r="G57" s="39" t="s">
        <v>102</v>
      </c>
      <c r="H57" s="34">
        <v>1.58385453E8</v>
      </c>
      <c r="I57" s="34">
        <v>1.58385453E8</v>
      </c>
      <c r="J57" s="34">
        <v>5.6241564E7</v>
      </c>
      <c r="K57" s="34">
        <v>5.6241564E7</v>
      </c>
      <c r="M57" s="45" t="s">
        <v>94</v>
      </c>
      <c r="N57" s="34">
        <v>-7416013.0</v>
      </c>
      <c r="O57" s="34">
        <v>1.0012772E7</v>
      </c>
      <c r="P57" s="34">
        <v>4833935.0</v>
      </c>
    </row>
    <row r="58" ht="15.75" customHeight="1">
      <c r="B58" s="39" t="s">
        <v>103</v>
      </c>
      <c r="C58" s="34">
        <v>5.244442521E9</v>
      </c>
      <c r="D58" s="34">
        <v>5.28539474E9</v>
      </c>
      <c r="G58" s="39" t="s">
        <v>104</v>
      </c>
      <c r="H58" s="34">
        <v>-1239453.0</v>
      </c>
      <c r="I58" s="34">
        <v>-1239453.0</v>
      </c>
      <c r="J58" s="34">
        <v>-608889.0</v>
      </c>
      <c r="K58" s="34">
        <v>-608889.0</v>
      </c>
      <c r="M58" s="45" t="s">
        <v>105</v>
      </c>
      <c r="N58" s="34">
        <v>3.73023263E8</v>
      </c>
      <c r="O58" s="34">
        <v>1.55505565E8</v>
      </c>
      <c r="P58" s="34">
        <v>2.23225491E8</v>
      </c>
    </row>
    <row r="59" ht="15.75" customHeight="1">
      <c r="B59" s="39" t="s">
        <v>106</v>
      </c>
      <c r="C59" s="35"/>
      <c r="D59" s="35"/>
      <c r="G59" s="39" t="s">
        <v>107</v>
      </c>
      <c r="H59" s="35"/>
      <c r="I59" s="35"/>
      <c r="J59" s="35"/>
      <c r="K59" s="35"/>
      <c r="M59" s="45" t="s">
        <v>108</v>
      </c>
      <c r="N59" s="35"/>
      <c r="O59" s="35"/>
      <c r="P59" s="35"/>
    </row>
    <row r="60" ht="15.75" customHeight="1">
      <c r="B60" s="39" t="s">
        <v>109</v>
      </c>
      <c r="C60" s="34">
        <v>2.846461845E9</v>
      </c>
      <c r="D60" s="34">
        <v>3.019853718E9</v>
      </c>
      <c r="G60" s="39" t="s">
        <v>110</v>
      </c>
      <c r="H60" s="34">
        <v>1.62122523E8</v>
      </c>
      <c r="I60" s="34">
        <v>1.62122523E8</v>
      </c>
      <c r="J60" s="34">
        <v>5.6955771E7</v>
      </c>
      <c r="K60" s="34">
        <v>5.6955771E7</v>
      </c>
      <c r="M60" s="45" t="s">
        <v>111</v>
      </c>
      <c r="N60" s="34">
        <v>4.0689181E8</v>
      </c>
      <c r="O60" s="34">
        <v>1.6102779E8</v>
      </c>
      <c r="P60" s="34">
        <v>1.97797542E8</v>
      </c>
    </row>
    <row r="61" ht="15.75" customHeight="1">
      <c r="B61" s="39" t="s">
        <v>112</v>
      </c>
      <c r="C61" s="34">
        <v>4.14738381E8</v>
      </c>
      <c r="D61" s="34">
        <v>4.31986856E8</v>
      </c>
      <c r="G61" s="39" t="s">
        <v>104</v>
      </c>
      <c r="H61" s="34">
        <v>-2050230.0</v>
      </c>
      <c r="I61" s="34">
        <v>-2050230.0</v>
      </c>
      <c r="J61" s="34">
        <v>-886840.0</v>
      </c>
      <c r="K61" s="34">
        <v>-886840.0</v>
      </c>
      <c r="M61" s="45" t="s">
        <v>104</v>
      </c>
      <c r="N61" s="34">
        <v>-1632396.0</v>
      </c>
      <c r="O61" s="34">
        <v>-4248812.0</v>
      </c>
      <c r="P61" s="34">
        <v>-3263289.0</v>
      </c>
    </row>
    <row r="62" ht="15.75" customHeight="1">
      <c r="B62" s="39" t="s">
        <v>113</v>
      </c>
      <c r="C62" s="34">
        <v>7.7908995E7</v>
      </c>
      <c r="D62" s="34">
        <v>9.3076845E7</v>
      </c>
      <c r="G62" s="39" t="s">
        <v>114</v>
      </c>
      <c r="H62" s="35"/>
      <c r="I62" s="35"/>
      <c r="J62" s="35"/>
      <c r="K62" s="35"/>
      <c r="M62" s="45" t="s">
        <v>115</v>
      </c>
      <c r="N62" s="35"/>
      <c r="O62" s="35"/>
      <c r="P62" s="35"/>
    </row>
    <row r="63" ht="15.75" customHeight="1">
      <c r="B63" s="39" t="s">
        <v>116</v>
      </c>
      <c r="C63" s="34">
        <v>1.697227891E9</v>
      </c>
      <c r="D63" s="34">
        <v>1.794227928E9</v>
      </c>
      <c r="G63" s="39" t="s">
        <v>117</v>
      </c>
      <c r="H63" s="34">
        <v>1451.0</v>
      </c>
      <c r="I63" s="34">
        <v>1451.0</v>
      </c>
      <c r="J63" s="35">
        <v>515.0</v>
      </c>
      <c r="K63" s="35">
        <v>515.0</v>
      </c>
      <c r="M63" s="45" t="s">
        <v>110</v>
      </c>
      <c r="N63" s="34">
        <v>3.76037452E8</v>
      </c>
      <c r="O63" s="34">
        <v>1.59507589E8</v>
      </c>
      <c r="P63" s="34">
        <v>2.27294805E8</v>
      </c>
    </row>
    <row r="64" ht="15.75" customHeight="1">
      <c r="A64" s="46" t="s">
        <v>6</v>
      </c>
      <c r="B64" s="47" t="s">
        <v>118</v>
      </c>
      <c r="C64" s="41">
        <v>6.3011799E7</v>
      </c>
      <c r="D64" s="34">
        <v>6.0392677E7</v>
      </c>
      <c r="G64" s="20"/>
      <c r="M64" s="45" t="s">
        <v>119</v>
      </c>
      <c r="N64" s="34">
        <v>-3014189.0</v>
      </c>
      <c r="O64" s="34">
        <v>-4002024.0</v>
      </c>
      <c r="P64" s="34">
        <v>-4069314.0</v>
      </c>
    </row>
    <row r="65" ht="15.75" customHeight="1">
      <c r="A65" s="46" t="s">
        <v>6</v>
      </c>
      <c r="B65" s="47" t="s">
        <v>120</v>
      </c>
      <c r="C65" s="41">
        <v>1.68628119E8</v>
      </c>
      <c r="D65" s="34">
        <v>2.6194602E8</v>
      </c>
      <c r="M65" s="45" t="s">
        <v>114</v>
      </c>
      <c r="N65" s="35"/>
      <c r="O65" s="35"/>
      <c r="P65" s="35"/>
    </row>
    <row r="66" ht="15.75" customHeight="1">
      <c r="B66" s="39" t="s">
        <v>121</v>
      </c>
      <c r="C66" s="34">
        <v>5382426.0</v>
      </c>
      <c r="D66" s="34">
        <v>6291998.0</v>
      </c>
      <c r="M66" s="45" t="s">
        <v>117</v>
      </c>
      <c r="N66" s="34">
        <v>3728.0</v>
      </c>
      <c r="O66" s="34">
        <v>1475.0</v>
      </c>
      <c r="P66" s="34">
        <v>1812.0</v>
      </c>
    </row>
    <row r="67" ht="15.75" customHeight="1">
      <c r="B67" s="39" t="s">
        <v>122</v>
      </c>
      <c r="C67" s="34">
        <v>5.583499E7</v>
      </c>
      <c r="D67" s="34">
        <v>3.5180076E7</v>
      </c>
      <c r="M67" s="18"/>
    </row>
    <row r="68" ht="15.75" customHeight="1">
      <c r="B68" s="39" t="s">
        <v>123</v>
      </c>
      <c r="C68" s="34">
        <v>7.8732429E7</v>
      </c>
      <c r="D68" s="34">
        <v>8.0637987E7</v>
      </c>
      <c r="M68" s="48"/>
    </row>
    <row r="69" ht="15.75" customHeight="1">
      <c r="B69" s="39" t="s">
        <v>124</v>
      </c>
      <c r="C69" s="34">
        <v>2.84996815E8</v>
      </c>
      <c r="D69" s="34">
        <v>2.56113331E8</v>
      </c>
    </row>
    <row r="70" ht="15.75" customHeight="1">
      <c r="B70" s="39" t="s">
        <v>125</v>
      </c>
      <c r="C70" s="34">
        <v>2.50651654E8</v>
      </c>
      <c r="D70" s="34">
        <v>2.56455833E8</v>
      </c>
    </row>
    <row r="71" ht="15.75" customHeight="1">
      <c r="A71" s="46" t="s">
        <v>6</v>
      </c>
      <c r="B71" s="47" t="s">
        <v>126</v>
      </c>
      <c r="C71" s="41">
        <v>2600000.0</v>
      </c>
      <c r="D71" s="34">
        <v>2600000.0</v>
      </c>
    </row>
    <row r="72" ht="15.75" customHeight="1">
      <c r="A72" s="46" t="s">
        <v>6</v>
      </c>
      <c r="B72" s="47" t="s">
        <v>121</v>
      </c>
      <c r="C72" s="41">
        <v>1.8639763E7</v>
      </c>
      <c r="D72" s="34">
        <v>1.9848947E7</v>
      </c>
    </row>
    <row r="73" ht="15.75" customHeight="1">
      <c r="B73" s="39" t="s">
        <v>127</v>
      </c>
      <c r="C73" s="34">
        <v>8342338.0</v>
      </c>
      <c r="D73" s="34">
        <v>220550.0</v>
      </c>
    </row>
    <row r="74" ht="15.75" customHeight="1">
      <c r="B74" s="39" t="s">
        <v>128</v>
      </c>
      <c r="C74" s="34">
        <v>1.53275506E8</v>
      </c>
      <c r="D74" s="34">
        <v>1.55683451E8</v>
      </c>
    </row>
    <row r="75" ht="15.75" customHeight="1">
      <c r="B75" s="39" t="s">
        <v>129</v>
      </c>
      <c r="C75" s="34">
        <v>2.0466199E7</v>
      </c>
      <c r="D75" s="34">
        <v>2.0088926E7</v>
      </c>
    </row>
    <row r="76" ht="15.75" customHeight="1">
      <c r="B76" s="39" t="s">
        <v>130</v>
      </c>
      <c r="C76" s="34">
        <v>4.7327848E7</v>
      </c>
      <c r="D76" s="34">
        <v>5.8013959E7</v>
      </c>
    </row>
    <row r="77" ht="15.75" customHeight="1">
      <c r="B77" s="39" t="s">
        <v>131</v>
      </c>
      <c r="C77" s="34">
        <v>3.097113499E9</v>
      </c>
      <c r="D77" s="34">
        <v>3.276309551E9</v>
      </c>
    </row>
    <row r="78" ht="15.75" customHeight="1">
      <c r="B78" s="39" t="s">
        <v>132</v>
      </c>
      <c r="C78" s="35"/>
      <c r="D78" s="35"/>
    </row>
    <row r="79" ht="15.75" customHeight="1">
      <c r="B79" s="39" t="s">
        <v>110</v>
      </c>
      <c r="C79" s="34">
        <v>2.185271886E9</v>
      </c>
      <c r="D79" s="34">
        <v>2.044977823E9</v>
      </c>
    </row>
    <row r="80" ht="15.75" customHeight="1">
      <c r="B80" s="39" t="s">
        <v>133</v>
      </c>
      <c r="C80" s="34">
        <v>5.45711465E8</v>
      </c>
      <c r="D80" s="34">
        <v>5.45711465E8</v>
      </c>
    </row>
    <row r="81" ht="15.75" customHeight="1">
      <c r="B81" s="39" t="s">
        <v>134</v>
      </c>
      <c r="C81" s="34">
        <v>5.19839907E8</v>
      </c>
      <c r="D81" s="34">
        <v>5.19839907E8</v>
      </c>
    </row>
    <row r="82" ht="15.75" customHeight="1">
      <c r="B82" s="39" t="s">
        <v>135</v>
      </c>
      <c r="C82" s="34">
        <v>2.94278068E8</v>
      </c>
      <c r="D82" s="34">
        <v>2.90812699E8</v>
      </c>
    </row>
    <row r="83" ht="15.75" customHeight="1">
      <c r="B83" s="39" t="s">
        <v>136</v>
      </c>
      <c r="C83" s="34">
        <v>8.25442446E8</v>
      </c>
      <c r="D83" s="34">
        <v>6.88613752E8</v>
      </c>
    </row>
    <row r="84" ht="15.75" customHeight="1">
      <c r="B84" s="39" t="s">
        <v>137</v>
      </c>
      <c r="C84" s="34">
        <v>-3.7942864E7</v>
      </c>
      <c r="D84" s="34">
        <v>-3.5892634E7</v>
      </c>
    </row>
    <row r="85" ht="15.75" customHeight="1">
      <c r="B85" s="39" t="s">
        <v>138</v>
      </c>
      <c r="C85" s="34">
        <v>2.147329022E9</v>
      </c>
      <c r="D85" s="34">
        <v>2.009085189E9</v>
      </c>
    </row>
    <row r="86" ht="15.75" customHeight="1">
      <c r="B86" s="39" t="s">
        <v>139</v>
      </c>
      <c r="C86" s="34">
        <v>5.244442521E9</v>
      </c>
      <c r="D86" s="34">
        <v>5.28539474E9</v>
      </c>
    </row>
    <row r="87" ht="15.75" customHeight="1">
      <c r="B87" s="20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2:C22"/>
    <mergeCell ref="B23:C23"/>
    <mergeCell ref="B24:C24"/>
    <mergeCell ref="B25:C25"/>
    <mergeCell ref="G35:G36"/>
    <mergeCell ref="H35:I35"/>
    <mergeCell ref="J35:K35"/>
    <mergeCell ref="B13:C14"/>
    <mergeCell ref="D13:F13"/>
    <mergeCell ref="G13:G14"/>
    <mergeCell ref="B15:C15"/>
    <mergeCell ref="B16:C16"/>
    <mergeCell ref="B17:C17"/>
    <mergeCell ref="B18:B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66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5"/>
    <col customWidth="1" min="3" max="4" width="14.25"/>
    <col customWidth="1" min="5" max="5" width="25.88"/>
    <col customWidth="1" min="6" max="6" width="14.13"/>
    <col customWidth="1" min="7" max="7" width="13.5"/>
    <col customWidth="1" min="8" max="8" width="14.13"/>
    <col customWidth="1" min="9" max="9" width="9.25"/>
    <col customWidth="1" min="10" max="10" width="19.0"/>
    <col customWidth="1" min="11" max="11" width="20.63"/>
    <col customWidth="1" min="12" max="13" width="8.13"/>
    <col customWidth="1" min="14" max="26" width="7.63"/>
  </cols>
  <sheetData>
    <row r="1" ht="12.75" customHeight="1"/>
    <row r="2" ht="12.75" customHeight="1"/>
    <row r="3" ht="12.75" customHeight="1"/>
    <row r="4" ht="12.75" customHeight="1">
      <c r="B4" s="49" t="s">
        <v>140</v>
      </c>
      <c r="C4" s="49" t="s">
        <v>141</v>
      </c>
      <c r="D4" s="49" t="s">
        <v>142</v>
      </c>
      <c r="E4" s="49" t="s">
        <v>143</v>
      </c>
      <c r="F4" s="49" t="s">
        <v>144</v>
      </c>
      <c r="G4" s="49" t="s">
        <v>145</v>
      </c>
      <c r="H4" s="49" t="s">
        <v>146</v>
      </c>
      <c r="I4" s="49" t="s">
        <v>147</v>
      </c>
      <c r="J4" s="49" t="s">
        <v>148</v>
      </c>
      <c r="K4" s="49" t="s">
        <v>149</v>
      </c>
      <c r="M4" s="49" t="s">
        <v>150</v>
      </c>
    </row>
    <row r="5" ht="12.75" customHeight="1">
      <c r="B5" s="50" t="str">
        <f>'한국한공우주'!A1</f>
        <v>한국항공우주</v>
      </c>
      <c r="C5" s="51">
        <f t="shared" ref="C5:C8" si="1">F5/G5</f>
        <v>0.1448896927</v>
      </c>
      <c r="D5" s="51">
        <f t="shared" ref="D5:D8" si="2">E5/G5</f>
        <v>0.8551103073</v>
      </c>
      <c r="E5" s="52">
        <f>'한국한공우주'!D6</f>
        <v>7310633.025</v>
      </c>
      <c r="F5" s="52">
        <f>'한국한공우주'!E6</f>
        <v>1238711.969</v>
      </c>
      <c r="G5" s="52">
        <f t="shared" ref="G5:G8" si="3">E5+F5</f>
        <v>8549344.994</v>
      </c>
      <c r="H5" s="52">
        <f>'한국한공우주'!F6</f>
        <v>239519.2341</v>
      </c>
      <c r="I5" s="53">
        <f>'한국한공우주'!G6</f>
        <v>0.231</v>
      </c>
      <c r="M5" s="51">
        <f t="shared" ref="M5:M8" si="4">C5/D5</f>
        <v>0.1694397687</v>
      </c>
    </row>
    <row r="6" ht="12.75" customHeight="1">
      <c r="B6" s="50" t="str">
        <f>'두산에너빌리티'!A1</f>
        <v>두산에너빌리티</v>
      </c>
      <c r="C6" s="51">
        <f t="shared" si="1"/>
        <v>0.2579385033</v>
      </c>
      <c r="D6" s="51">
        <f t="shared" si="2"/>
        <v>0.7420614967</v>
      </c>
      <c r="E6" s="52">
        <f>'두산에너빌리티'!D6</f>
        <v>18541466.61</v>
      </c>
      <c r="F6" s="52">
        <f>'두산에너빌리티'!E6</f>
        <v>6444962</v>
      </c>
      <c r="G6" s="52">
        <f t="shared" si="3"/>
        <v>24986428.61</v>
      </c>
      <c r="H6" s="52">
        <f>'두산에너빌리티'!F6</f>
        <v>802004</v>
      </c>
      <c r="I6" s="53">
        <f>'두산에너빌리티'!G6</f>
        <v>0.264</v>
      </c>
      <c r="M6" s="51">
        <f t="shared" si="4"/>
        <v>0.3475972065</v>
      </c>
    </row>
    <row r="7" ht="12.75" customHeight="1">
      <c r="B7" s="50" t="str">
        <f>'한화시스템'!A1</f>
        <v>한화시스템</v>
      </c>
      <c r="C7" s="51">
        <f t="shared" si="1"/>
        <v>0.1007927266</v>
      </c>
      <c r="D7" s="51">
        <f t="shared" si="2"/>
        <v>0.8992072734</v>
      </c>
      <c r="E7" s="52">
        <f>'한화시스템'!D6</f>
        <v>6002483.678</v>
      </c>
      <c r="F7" s="52">
        <f>'한화시스템'!E6</f>
        <v>672822.289</v>
      </c>
      <c r="G7" s="52">
        <f t="shared" si="3"/>
        <v>6675305.967</v>
      </c>
      <c r="H7" s="52">
        <f>'한화시스템'!F6</f>
        <v>232034.5883</v>
      </c>
      <c r="I7" s="53">
        <f>'한화시스템'!G6</f>
        <v>0.231</v>
      </c>
      <c r="M7" s="51">
        <f t="shared" si="4"/>
        <v>0.1120906487</v>
      </c>
    </row>
    <row r="8" ht="12.75" customHeight="1">
      <c r="B8" s="54" t="str">
        <f>'LIG넥스원'!A1</f>
        <v>LIG디펜스앤에어로스페이스</v>
      </c>
      <c r="C8" s="55">
        <f t="shared" si="1"/>
        <v>0.05181312515</v>
      </c>
      <c r="D8" s="55">
        <f t="shared" si="2"/>
        <v>0.9481868748</v>
      </c>
      <c r="E8" s="56">
        <f>'LIG넥스원'!D6</f>
        <v>5405001.28</v>
      </c>
      <c r="F8" s="56">
        <f>'LIG넥스원'!E6</f>
        <v>295353.179</v>
      </c>
      <c r="G8" s="56">
        <f t="shared" si="3"/>
        <v>5700354.459</v>
      </c>
      <c r="H8" s="56">
        <f>'LIG넥스원'!F6</f>
        <v>276386.0388</v>
      </c>
      <c r="I8" s="57">
        <f>'LIG넥스원'!G6</f>
        <v>0.231</v>
      </c>
      <c r="J8" s="54"/>
      <c r="K8" s="54"/>
      <c r="M8" s="55">
        <f t="shared" si="4"/>
        <v>0.05464442351</v>
      </c>
    </row>
    <row r="9" ht="12.75" customHeight="1"/>
    <row r="10" ht="12.75" customHeight="1"/>
    <row r="11" ht="12.75" customHeight="1">
      <c r="B11" s="58" t="s">
        <v>151</v>
      </c>
      <c r="C11" s="59">
        <f t="shared" ref="C11:D11" si="5">AVERAGE(C5:C8)</f>
        <v>0.1388585119</v>
      </c>
      <c r="D11" s="59">
        <f t="shared" si="5"/>
        <v>0.8611414881</v>
      </c>
      <c r="E11" s="60"/>
      <c r="F11" s="60"/>
      <c r="G11" s="60"/>
      <c r="H11" s="60"/>
      <c r="I11" s="59"/>
      <c r="J11" s="59"/>
      <c r="K11" s="59"/>
      <c r="L11" s="51"/>
      <c r="M11" s="61">
        <f t="shared" ref="M11:M12" si="7">AVERAGE(M5:M8)</f>
        <v>0.1709430118</v>
      </c>
    </row>
    <row r="12" ht="12.75" customHeight="1">
      <c r="B12" s="62" t="s">
        <v>152</v>
      </c>
      <c r="C12" s="55">
        <f t="shared" ref="C12:D12" si="6">AVERAGE(C6:C9)</f>
        <v>0.1368481183</v>
      </c>
      <c r="D12" s="55">
        <f t="shared" si="6"/>
        <v>0.8631518817</v>
      </c>
      <c r="E12" s="63"/>
      <c r="F12" s="63"/>
      <c r="G12" s="63"/>
      <c r="H12" s="63"/>
      <c r="I12" s="55"/>
      <c r="J12" s="55"/>
      <c r="K12" s="55"/>
      <c r="L12" s="51"/>
      <c r="M12" s="64">
        <f t="shared" si="7"/>
        <v>0.1714440929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88"/>
    <col customWidth="1" min="3" max="3" width="20.5"/>
    <col customWidth="1" min="4" max="4" width="15.0"/>
    <col customWidth="1" min="5" max="26" width="11.0"/>
  </cols>
  <sheetData>
    <row r="1" ht="15.75" customHeight="1">
      <c r="A1" s="1" t="s">
        <v>153</v>
      </c>
    </row>
    <row r="2" ht="15.75" customHeight="1">
      <c r="A2" s="2">
        <v>45777.0</v>
      </c>
    </row>
    <row r="3" ht="15.75" customHeight="1"/>
    <row r="4" ht="15.75" customHeight="1">
      <c r="G4" s="3" t="s">
        <v>1</v>
      </c>
    </row>
    <row r="5" ht="15.75" customHeight="1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</row>
    <row r="6" ht="15.75" customHeight="1">
      <c r="B6" s="10">
        <v>75000.0</v>
      </c>
      <c r="C6" s="11">
        <f>D22</f>
        <v>97475107</v>
      </c>
      <c r="D6" s="12">
        <f>(B6*C6)/10^6</f>
        <v>7310633.025</v>
      </c>
      <c r="E6" s="12">
        <f>SUMIF(A:A,E5,C:C)/10^6+(D94+D102)/10^3</f>
        <v>1238711.969</v>
      </c>
      <c r="F6" s="12">
        <f>(H39+N39-J39)/10^6</f>
        <v>239519.2341</v>
      </c>
      <c r="G6" s="13">
        <f>IF(F6&lt;=200, 0.99, IF(F6&lt;=20000, 0.209, IF(F6&lt;=300000, 0.231, 0.264)))</f>
        <v>0.231</v>
      </c>
    </row>
    <row r="7" ht="15.75" customHeight="1"/>
    <row r="8" ht="15.75" customHeight="1"/>
    <row r="9" ht="15.75" customHeight="1">
      <c r="B9" s="17" t="s">
        <v>10</v>
      </c>
    </row>
    <row r="10" ht="15.75" customHeight="1">
      <c r="B10" s="18"/>
    </row>
    <row r="11" ht="15.75" customHeight="1">
      <c r="B11" s="18"/>
      <c r="C11" s="65"/>
      <c r="D11" s="65"/>
      <c r="E11" s="65"/>
      <c r="F11" s="65"/>
      <c r="G11" s="65"/>
      <c r="H11" s="66"/>
    </row>
    <row r="12" ht="15.75" customHeight="1">
      <c r="B12" s="20" t="s">
        <v>12</v>
      </c>
      <c r="C12" s="67">
        <v>45747.0</v>
      </c>
      <c r="D12" s="20" t="s">
        <v>14</v>
      </c>
      <c r="E12" s="22" t="s">
        <v>154</v>
      </c>
      <c r="F12" s="65"/>
      <c r="G12" s="65"/>
    </row>
    <row r="13" ht="15.75" customHeight="1">
      <c r="B13" s="23" t="s">
        <v>16</v>
      </c>
      <c r="C13" s="24"/>
      <c r="D13" s="68" t="s">
        <v>17</v>
      </c>
      <c r="E13" s="26"/>
      <c r="F13" s="27"/>
      <c r="G13" s="69" t="s">
        <v>18</v>
      </c>
    </row>
    <row r="14" ht="15.75" customHeight="1">
      <c r="B14" s="29"/>
      <c r="C14" s="30"/>
      <c r="D14" s="70" t="s">
        <v>19</v>
      </c>
      <c r="E14" s="31" t="s">
        <v>20</v>
      </c>
      <c r="F14" s="70" t="s">
        <v>21</v>
      </c>
      <c r="G14" s="32"/>
    </row>
    <row r="15" ht="15.75" customHeight="1">
      <c r="B15" s="33" t="s">
        <v>22</v>
      </c>
      <c r="C15" s="27"/>
      <c r="D15" s="34">
        <v>2.0E8</v>
      </c>
      <c r="E15" s="35" t="s">
        <v>23</v>
      </c>
      <c r="F15" s="34">
        <v>2.0E8</v>
      </c>
      <c r="G15" s="37" t="s">
        <v>23</v>
      </c>
    </row>
    <row r="16" ht="15.75" customHeight="1">
      <c r="B16" s="33" t="s">
        <v>25</v>
      </c>
      <c r="C16" s="27"/>
      <c r="D16" s="34">
        <v>1.48907209E8</v>
      </c>
      <c r="E16" s="35" t="s">
        <v>23</v>
      </c>
      <c r="F16" s="34">
        <v>1.48907209E8</v>
      </c>
      <c r="G16" s="37" t="s">
        <v>23</v>
      </c>
    </row>
    <row r="17" ht="15.75" customHeight="1">
      <c r="B17" s="33" t="s">
        <v>26</v>
      </c>
      <c r="C17" s="27"/>
      <c r="D17" s="34">
        <v>5.1432102E7</v>
      </c>
      <c r="E17" s="35" t="s">
        <v>23</v>
      </c>
      <c r="F17" s="34">
        <v>5.1432102E7</v>
      </c>
      <c r="G17" s="37" t="s">
        <v>23</v>
      </c>
    </row>
    <row r="18" ht="15.75" customHeight="1">
      <c r="B18" s="38"/>
      <c r="C18" s="39" t="s">
        <v>27</v>
      </c>
      <c r="D18" s="34">
        <v>5.1432102E7</v>
      </c>
      <c r="E18" s="35" t="s">
        <v>23</v>
      </c>
      <c r="F18" s="34">
        <v>5.1432102E7</v>
      </c>
      <c r="G18" s="37" t="s">
        <v>23</v>
      </c>
    </row>
    <row r="19" ht="15.75" customHeight="1">
      <c r="B19" s="40"/>
      <c r="C19" s="39" t="s">
        <v>28</v>
      </c>
      <c r="D19" s="35" t="s">
        <v>23</v>
      </c>
      <c r="E19" s="35" t="s">
        <v>23</v>
      </c>
      <c r="F19" s="35" t="s">
        <v>23</v>
      </c>
      <c r="G19" s="37" t="s">
        <v>23</v>
      </c>
    </row>
    <row r="20" ht="15.75" customHeight="1">
      <c r="B20" s="40"/>
      <c r="C20" s="39" t="s">
        <v>29</v>
      </c>
      <c r="D20" s="34" t="s">
        <v>23</v>
      </c>
      <c r="E20" s="35" t="s">
        <v>23</v>
      </c>
      <c r="F20" s="34" t="s">
        <v>23</v>
      </c>
      <c r="G20" s="37" t="s">
        <v>23</v>
      </c>
    </row>
    <row r="21" ht="15.75" customHeight="1">
      <c r="B21" s="32"/>
      <c r="C21" s="39" t="s">
        <v>30</v>
      </c>
      <c r="D21" s="35" t="s">
        <v>23</v>
      </c>
      <c r="E21" s="35" t="s">
        <v>23</v>
      </c>
      <c r="F21" s="35" t="s">
        <v>23</v>
      </c>
      <c r="G21" s="37" t="s">
        <v>23</v>
      </c>
    </row>
    <row r="22" ht="15.75" customHeight="1">
      <c r="B22" s="33" t="s">
        <v>31</v>
      </c>
      <c r="C22" s="27"/>
      <c r="D22" s="34">
        <v>9.7475107E7</v>
      </c>
      <c r="E22" s="35" t="s">
        <v>23</v>
      </c>
      <c r="F22" s="34">
        <v>9.7475107E7</v>
      </c>
      <c r="G22" s="37" t="s">
        <v>23</v>
      </c>
    </row>
    <row r="23" ht="15.75" customHeight="1">
      <c r="B23" s="33" t="s">
        <v>32</v>
      </c>
      <c r="C23" s="27"/>
      <c r="D23" s="35" t="s">
        <v>23</v>
      </c>
      <c r="E23" s="35" t="s">
        <v>23</v>
      </c>
      <c r="F23" s="35" t="s">
        <v>23</v>
      </c>
      <c r="G23" s="37" t="s">
        <v>23</v>
      </c>
    </row>
    <row r="24" ht="15.75" customHeight="1">
      <c r="B24" s="33" t="s">
        <v>33</v>
      </c>
      <c r="C24" s="27"/>
      <c r="D24" s="34">
        <v>9.7475107E7</v>
      </c>
      <c r="E24" s="35" t="s">
        <v>23</v>
      </c>
      <c r="F24" s="34">
        <v>9.7475107E7</v>
      </c>
      <c r="G24" s="37" t="s">
        <v>23</v>
      </c>
    </row>
    <row r="25" ht="15.75" customHeight="1">
      <c r="B25" s="33" t="s">
        <v>34</v>
      </c>
      <c r="C25" s="27"/>
      <c r="D25" s="35" t="s">
        <v>23</v>
      </c>
      <c r="E25" s="35" t="s">
        <v>23</v>
      </c>
      <c r="F25" s="35" t="s">
        <v>23</v>
      </c>
      <c r="G25" s="37" t="s">
        <v>23</v>
      </c>
    </row>
    <row r="26" ht="15.75" customHeight="1">
      <c r="B26" s="20"/>
    </row>
    <row r="27" ht="15.75" customHeight="1"/>
    <row r="28" ht="15.75" customHeight="1">
      <c r="B28" s="42" t="s">
        <v>35</v>
      </c>
      <c r="G28" s="42" t="s">
        <v>36</v>
      </c>
      <c r="M28" s="42" t="s">
        <v>36</v>
      </c>
    </row>
    <row r="29" ht="15.75" customHeight="1">
      <c r="B29" s="43" t="s">
        <v>37</v>
      </c>
      <c r="G29" s="43" t="s">
        <v>38</v>
      </c>
      <c r="M29" s="43" t="s">
        <v>38</v>
      </c>
    </row>
    <row r="30" ht="15.75" customHeight="1">
      <c r="B30" s="44" t="s">
        <v>39</v>
      </c>
      <c r="G30" s="44" t="s">
        <v>40</v>
      </c>
      <c r="M30" s="44" t="s">
        <v>41</v>
      </c>
    </row>
    <row r="31" ht="15.75" customHeight="1">
      <c r="B31" s="44" t="s">
        <v>42</v>
      </c>
      <c r="G31" s="44" t="s">
        <v>43</v>
      </c>
      <c r="M31" s="44" t="s">
        <v>44</v>
      </c>
    </row>
    <row r="32" ht="15.75" customHeight="1">
      <c r="B32" s="22" t="s">
        <v>155</v>
      </c>
      <c r="G32" s="22" t="s">
        <v>155</v>
      </c>
      <c r="M32" s="44" t="s">
        <v>46</v>
      </c>
    </row>
    <row r="33" ht="15.75" customHeight="1">
      <c r="B33" s="31"/>
      <c r="C33" s="31" t="s">
        <v>47</v>
      </c>
      <c r="D33" s="31" t="s">
        <v>48</v>
      </c>
      <c r="G33" s="28"/>
      <c r="H33" s="25" t="s">
        <v>49</v>
      </c>
      <c r="I33" s="27"/>
      <c r="J33" s="25" t="s">
        <v>50</v>
      </c>
      <c r="K33" s="27"/>
      <c r="M33" s="22" t="s">
        <v>155</v>
      </c>
    </row>
    <row r="34" ht="15.75" customHeight="1">
      <c r="B34" s="45" t="s">
        <v>51</v>
      </c>
      <c r="C34" s="35"/>
      <c r="D34" s="35"/>
      <c r="G34" s="32"/>
      <c r="H34" s="31" t="s">
        <v>52</v>
      </c>
      <c r="I34" s="31" t="s">
        <v>53</v>
      </c>
      <c r="J34" s="31" t="s">
        <v>52</v>
      </c>
      <c r="K34" s="31" t="s">
        <v>53</v>
      </c>
      <c r="M34" s="31"/>
      <c r="N34" s="31" t="s">
        <v>54</v>
      </c>
      <c r="O34" s="31" t="s">
        <v>55</v>
      </c>
      <c r="P34" s="31" t="s">
        <v>56</v>
      </c>
    </row>
    <row r="35" ht="15.75" customHeight="1">
      <c r="B35" s="45" t="s">
        <v>57</v>
      </c>
      <c r="C35" s="34">
        <v>6.133242748971E12</v>
      </c>
      <c r="D35" s="34">
        <v>5.439008063568E12</v>
      </c>
      <c r="G35" s="45" t="s">
        <v>156</v>
      </c>
      <c r="H35" s="34">
        <v>6.9925659226E11</v>
      </c>
      <c r="I35" s="34">
        <v>6.9925659226E11</v>
      </c>
      <c r="J35" s="34">
        <v>7.39922390124E11</v>
      </c>
      <c r="K35" s="34">
        <v>7.39922390124E11</v>
      </c>
      <c r="M35" s="45" t="s">
        <v>156</v>
      </c>
      <c r="N35" s="34">
        <v>3.63374210584E12</v>
      </c>
      <c r="O35" s="34">
        <v>3.819344382446E12</v>
      </c>
      <c r="P35" s="34">
        <v>2.786888282702E12</v>
      </c>
    </row>
    <row r="36" ht="15.75" customHeight="1">
      <c r="B36" s="45" t="s">
        <v>157</v>
      </c>
      <c r="C36" s="34">
        <v>1.38032136378E11</v>
      </c>
      <c r="D36" s="34">
        <v>1.14716160403E11</v>
      </c>
      <c r="G36" s="45" t="s">
        <v>158</v>
      </c>
      <c r="H36" s="34">
        <v>5.78930842958E11</v>
      </c>
      <c r="I36" s="34">
        <v>5.78930842958E11</v>
      </c>
      <c r="J36" s="34">
        <v>6.42207439792E11</v>
      </c>
      <c r="K36" s="34">
        <v>6.42207439792E11</v>
      </c>
      <c r="M36" s="45" t="s">
        <v>158</v>
      </c>
      <c r="N36" s="34">
        <v>3.152251662461E12</v>
      </c>
      <c r="O36" s="34">
        <v>3.355494014353E12</v>
      </c>
      <c r="P36" s="34">
        <v>2.413060986583E12</v>
      </c>
    </row>
    <row r="37" ht="15.75" customHeight="1">
      <c r="B37" s="45" t="s">
        <v>159</v>
      </c>
      <c r="C37" s="34">
        <v>3.0E11</v>
      </c>
      <c r="D37" s="34">
        <v>2.7131621918E10</v>
      </c>
      <c r="G37" s="45" t="s">
        <v>62</v>
      </c>
      <c r="H37" s="34">
        <v>1.20325749302E11</v>
      </c>
      <c r="I37" s="34">
        <v>1.20325749302E11</v>
      </c>
      <c r="J37" s="34">
        <v>9.7714950332E10</v>
      </c>
      <c r="K37" s="34">
        <v>9.7714950332E10</v>
      </c>
      <c r="M37" s="45" t="s">
        <v>62</v>
      </c>
      <c r="N37" s="34">
        <v>4.81490443379E11</v>
      </c>
      <c r="O37" s="34">
        <v>4.63850368093E11</v>
      </c>
      <c r="P37" s="34">
        <v>3.73827296119E11</v>
      </c>
    </row>
    <row r="38" ht="15.75" customHeight="1">
      <c r="B38" s="45" t="s">
        <v>160</v>
      </c>
      <c r="C38" s="34">
        <v>3.95719299735E11</v>
      </c>
      <c r="D38" s="34">
        <v>3.98755279903E11</v>
      </c>
      <c r="G38" s="45" t="s">
        <v>161</v>
      </c>
      <c r="H38" s="34">
        <v>7.3512834257E10</v>
      </c>
      <c r="I38" s="34">
        <v>7.3512834257E10</v>
      </c>
      <c r="J38" s="34">
        <v>4.9702958969E10</v>
      </c>
      <c r="K38" s="34">
        <v>4.9702958969E10</v>
      </c>
      <c r="M38" s="45" t="s">
        <v>161</v>
      </c>
      <c r="N38" s="34">
        <v>2.40772132979E11</v>
      </c>
      <c r="O38" s="34">
        <v>2.16339884938E11</v>
      </c>
      <c r="P38" s="34">
        <v>2.32209628801E11</v>
      </c>
    </row>
    <row r="39" ht="15.75" customHeight="1">
      <c r="B39" s="45" t="s">
        <v>162</v>
      </c>
      <c r="C39" s="34">
        <v>6.20054283361E11</v>
      </c>
      <c r="D39" s="34">
        <v>4.81616109522E11</v>
      </c>
      <c r="G39" s="71" t="s">
        <v>163</v>
      </c>
      <c r="H39" s="41">
        <v>4.6812915045E10</v>
      </c>
      <c r="I39" s="41">
        <v>4.6812915045E10</v>
      </c>
      <c r="J39" s="41">
        <v>4.8011991363E10</v>
      </c>
      <c r="K39" s="34">
        <v>4.8011991363E10</v>
      </c>
      <c r="M39" s="71" t="s">
        <v>163</v>
      </c>
      <c r="N39" s="41">
        <v>2.407183104E11</v>
      </c>
      <c r="O39" s="34">
        <v>2.47510483155E11</v>
      </c>
      <c r="P39" s="34">
        <v>1.41617667318E11</v>
      </c>
    </row>
    <row r="40" ht="15.75" customHeight="1">
      <c r="B40" s="45" t="s">
        <v>164</v>
      </c>
      <c r="C40" s="34">
        <v>2.1653458791E10</v>
      </c>
      <c r="D40" s="34">
        <v>2.2371366814E10</v>
      </c>
      <c r="G40" s="45" t="s">
        <v>165</v>
      </c>
      <c r="H40" s="34">
        <v>4.38466476E8</v>
      </c>
      <c r="I40" s="34">
        <v>4.38466476E8</v>
      </c>
      <c r="J40" s="34">
        <v>5.03545853E8</v>
      </c>
      <c r="K40" s="34">
        <v>5.03545853E8</v>
      </c>
      <c r="M40" s="45" t="s">
        <v>166</v>
      </c>
      <c r="N40" s="34">
        <v>8.943702027E9</v>
      </c>
      <c r="O40" s="34">
        <v>1.690162895E10</v>
      </c>
      <c r="P40" s="34">
        <v>1.0690416573E10</v>
      </c>
    </row>
    <row r="41" ht="15.75" customHeight="1">
      <c r="B41" s="45" t="s">
        <v>167</v>
      </c>
      <c r="C41" s="34">
        <v>2.718905396687E12</v>
      </c>
      <c r="D41" s="34">
        <v>2.359034707814E12</v>
      </c>
      <c r="G41" s="45" t="s">
        <v>168</v>
      </c>
      <c r="H41" s="34">
        <v>5.81091315E8</v>
      </c>
      <c r="I41" s="34">
        <v>5.81091315E8</v>
      </c>
      <c r="J41" s="34">
        <v>6.94839418E8</v>
      </c>
      <c r="K41" s="34">
        <v>6.94839418E8</v>
      </c>
      <c r="M41" s="45" t="s">
        <v>169</v>
      </c>
      <c r="N41" s="34">
        <v>2.7300056509E10</v>
      </c>
      <c r="O41" s="34">
        <v>2.0906948393E10</v>
      </c>
      <c r="P41" s="34">
        <v>6.871167952E9</v>
      </c>
    </row>
    <row r="42" ht="15.75" customHeight="1">
      <c r="B42" s="45" t="s">
        <v>170</v>
      </c>
      <c r="C42" s="34">
        <v>6.2362E7</v>
      </c>
      <c r="D42" s="34">
        <v>5.393972E7</v>
      </c>
      <c r="G42" s="45" t="s">
        <v>171</v>
      </c>
      <c r="H42" s="34">
        <v>5.519845354E10</v>
      </c>
      <c r="I42" s="34">
        <v>5.519845354E10</v>
      </c>
      <c r="J42" s="34">
        <v>4.3618761478E10</v>
      </c>
      <c r="K42" s="34">
        <v>4.3618761478E10</v>
      </c>
      <c r="M42" s="45" t="s">
        <v>171</v>
      </c>
      <c r="N42" s="34">
        <v>1.2110921368E11</v>
      </c>
      <c r="O42" s="34">
        <v>1.12453943443E11</v>
      </c>
      <c r="P42" s="34">
        <v>1.0967506548E11</v>
      </c>
    </row>
    <row r="43" ht="15.75" customHeight="1">
      <c r="B43" s="45" t="s">
        <v>172</v>
      </c>
      <c r="C43" s="34">
        <v>1.938815812019E12</v>
      </c>
      <c r="D43" s="34">
        <v>2.035328877474E12</v>
      </c>
      <c r="G43" s="45" t="s">
        <v>173</v>
      </c>
      <c r="H43" s="34">
        <v>6.5183983326E10</v>
      </c>
      <c r="I43" s="34">
        <v>6.5183983326E10</v>
      </c>
      <c r="J43" s="34">
        <v>4.5064043382E10</v>
      </c>
      <c r="K43" s="34">
        <v>4.5064043382E10</v>
      </c>
      <c r="M43" s="45" t="s">
        <v>173</v>
      </c>
      <c r="N43" s="34">
        <v>1.43909460657E11</v>
      </c>
      <c r="O43" s="34">
        <v>8.7591601007E10</v>
      </c>
      <c r="P43" s="34">
        <v>1.32310966928E11</v>
      </c>
    </row>
    <row r="44" ht="15.75" customHeight="1">
      <c r="B44" s="45" t="s">
        <v>75</v>
      </c>
      <c r="C44" s="34">
        <v>2.600123288969E12</v>
      </c>
      <c r="D44" s="34">
        <v>2.586530345825E12</v>
      </c>
      <c r="G44" s="45" t="s">
        <v>174</v>
      </c>
      <c r="H44" s="34">
        <v>9.76509784E8</v>
      </c>
      <c r="I44" s="34">
        <v>9.76509784E8</v>
      </c>
      <c r="J44" s="34">
        <v>9.46863349E8</v>
      </c>
      <c r="K44" s="34">
        <v>9.46863349E8</v>
      </c>
      <c r="M44" s="45" t="s">
        <v>175</v>
      </c>
      <c r="N44" s="34"/>
      <c r="O44" s="34">
        <v>1.369167843E9</v>
      </c>
      <c r="P44" s="34">
        <v>1.334591136E9</v>
      </c>
    </row>
    <row r="45" ht="15.75" customHeight="1">
      <c r="B45" s="45" t="s">
        <v>176</v>
      </c>
      <c r="C45" s="34">
        <v>7.9626906529E10</v>
      </c>
      <c r="D45" s="34">
        <v>7.9655609179E10</v>
      </c>
      <c r="G45" s="45" t="s">
        <v>177</v>
      </c>
      <c r="H45" s="34">
        <v>3.5708250636E10</v>
      </c>
      <c r="I45" s="34">
        <v>3.5708250636E10</v>
      </c>
      <c r="J45" s="34">
        <v>4.5428552545E10</v>
      </c>
      <c r="K45" s="34">
        <v>4.5428552545E10</v>
      </c>
      <c r="M45" s="45" t="s">
        <v>174</v>
      </c>
      <c r="N45" s="34">
        <v>2.455312616E9</v>
      </c>
      <c r="O45" s="34">
        <v>1.020953512E9</v>
      </c>
      <c r="P45" s="34">
        <v>2.013675671E9</v>
      </c>
    </row>
    <row r="46" ht="15.75" customHeight="1">
      <c r="B46" s="45" t="s">
        <v>178</v>
      </c>
      <c r="C46" s="34">
        <v>2.9580273545E10</v>
      </c>
      <c r="D46" s="34">
        <v>2.9511304701E10</v>
      </c>
      <c r="G46" s="45" t="s">
        <v>179</v>
      </c>
      <c r="H46" s="34">
        <v>6.544179205E9</v>
      </c>
      <c r="I46" s="34">
        <v>6.544179205E9</v>
      </c>
      <c r="J46" s="34">
        <v>1.0202220761E10</v>
      </c>
      <c r="K46" s="34">
        <v>1.0202220761E10</v>
      </c>
      <c r="M46" s="45" t="s">
        <v>177</v>
      </c>
      <c r="N46" s="34">
        <v>1.97106396325E11</v>
      </c>
      <c r="O46" s="34">
        <v>2.68715720479E11</v>
      </c>
      <c r="P46" s="34">
        <v>1.22121929956E11</v>
      </c>
    </row>
    <row r="47" ht="15.75" customHeight="1">
      <c r="B47" s="45" t="s">
        <v>180</v>
      </c>
      <c r="C47" s="34">
        <v>8.281520193E9</v>
      </c>
      <c r="D47" s="34">
        <v>9.200977948E9</v>
      </c>
      <c r="G47" s="45" t="s">
        <v>181</v>
      </c>
      <c r="H47" s="34">
        <v>2.9164071431E10</v>
      </c>
      <c r="I47" s="34">
        <v>2.9164071431E10</v>
      </c>
      <c r="J47" s="34">
        <v>3.5226331784E10</v>
      </c>
      <c r="K47" s="34">
        <v>3.5226331784E10</v>
      </c>
      <c r="M47" s="45" t="s">
        <v>179</v>
      </c>
      <c r="N47" s="34">
        <v>2.6210985348E10</v>
      </c>
      <c r="O47" s="34">
        <v>4.7314600584E10</v>
      </c>
      <c r="P47" s="34">
        <v>6.202534236E9</v>
      </c>
    </row>
    <row r="48" ht="15.75" customHeight="1">
      <c r="B48" s="45" t="s">
        <v>182</v>
      </c>
      <c r="C48" s="34">
        <v>1.3560565574E10</v>
      </c>
      <c r="D48" s="34">
        <v>1.4537075358E10</v>
      </c>
      <c r="G48" s="45" t="s">
        <v>85</v>
      </c>
      <c r="H48" s="34">
        <v>-4216206.0</v>
      </c>
      <c r="I48" s="34">
        <v>-4216206.0</v>
      </c>
      <c r="J48" s="34">
        <v>9.5399502E7</v>
      </c>
      <c r="K48" s="34">
        <v>9.5399502E7</v>
      </c>
      <c r="M48" s="45" t="s">
        <v>181</v>
      </c>
      <c r="N48" s="34">
        <v>1.70895410977E11</v>
      </c>
      <c r="O48" s="34">
        <v>2.21401119895E11</v>
      </c>
      <c r="P48" s="34">
        <v>1.1591939572E11</v>
      </c>
    </row>
    <row r="49" ht="15.75" customHeight="1">
      <c r="B49" s="45" t="s">
        <v>183</v>
      </c>
      <c r="C49" s="34">
        <v>9.40358257642E11</v>
      </c>
      <c r="D49" s="34">
        <v>9.12525958117E11</v>
      </c>
      <c r="G49" s="45" t="s">
        <v>91</v>
      </c>
      <c r="H49" s="34">
        <v>-4216206.0</v>
      </c>
      <c r="I49" s="34">
        <v>-4216206.0</v>
      </c>
      <c r="J49" s="34">
        <v>9.5399502E7</v>
      </c>
      <c r="K49" s="34">
        <v>9.5399502E7</v>
      </c>
      <c r="M49" s="45" t="s">
        <v>85</v>
      </c>
      <c r="N49" s="34">
        <v>-1.4921492633E10</v>
      </c>
      <c r="O49" s="34">
        <v>-3.0308651734E10</v>
      </c>
      <c r="P49" s="34">
        <v>5.9348444108E10</v>
      </c>
    </row>
    <row r="50" ht="15.75" customHeight="1">
      <c r="B50" s="45" t="s">
        <v>184</v>
      </c>
      <c r="C50" s="34">
        <v>8.70842674135E11</v>
      </c>
      <c r="D50" s="34">
        <v>8.45689955229E11</v>
      </c>
      <c r="G50" s="45" t="s">
        <v>185</v>
      </c>
      <c r="H50" s="34">
        <v>-4216206.0</v>
      </c>
      <c r="I50" s="34">
        <v>-4216206.0</v>
      </c>
      <c r="J50" s="34">
        <v>6.6634688E7</v>
      </c>
      <c r="K50" s="34">
        <v>6.6634688E7</v>
      </c>
      <c r="M50" s="45" t="s">
        <v>87</v>
      </c>
      <c r="N50" s="34">
        <v>-1.4977472233E10</v>
      </c>
      <c r="O50" s="34">
        <v>-3.0431650836E10</v>
      </c>
      <c r="P50" s="34">
        <v>5.9267549731E10</v>
      </c>
    </row>
    <row r="51" ht="15.75" customHeight="1">
      <c r="B51" s="45" t="s">
        <v>186</v>
      </c>
      <c r="C51" s="34">
        <v>3.28496186182E11</v>
      </c>
      <c r="D51" s="34">
        <v>3.34408365983E11</v>
      </c>
      <c r="G51" s="45" t="s">
        <v>187</v>
      </c>
      <c r="H51" s="34"/>
      <c r="I51" s="34"/>
      <c r="J51" s="34">
        <v>2.8764814E7</v>
      </c>
      <c r="K51" s="34">
        <v>2.8764814E7</v>
      </c>
      <c r="M51" s="45" t="s">
        <v>188</v>
      </c>
      <c r="N51" s="34">
        <v>-1.9437312039E10</v>
      </c>
      <c r="O51" s="34">
        <v>-3.9516263416E10</v>
      </c>
      <c r="P51" s="34">
        <v>7.7771390545E10</v>
      </c>
    </row>
    <row r="52" ht="15.75" customHeight="1">
      <c r="B52" s="45" t="s">
        <v>189</v>
      </c>
      <c r="C52" s="34">
        <v>3.29376905169E11</v>
      </c>
      <c r="D52" s="34">
        <v>3.6100109931E11</v>
      </c>
      <c r="G52" s="45" t="s">
        <v>190</v>
      </c>
      <c r="H52" s="34">
        <v>2.9159855225E10</v>
      </c>
      <c r="I52" s="34">
        <v>2.9159855225E10</v>
      </c>
      <c r="J52" s="34">
        <v>3.5321731286E10</v>
      </c>
      <c r="K52" s="34">
        <v>3.5321731286E10</v>
      </c>
      <c r="M52" s="45" t="s">
        <v>191</v>
      </c>
      <c r="N52" s="34">
        <v>4.459839806E9</v>
      </c>
      <c r="O52" s="34">
        <v>9.08461258E9</v>
      </c>
      <c r="P52" s="34">
        <v>-1.8503840814E10</v>
      </c>
    </row>
    <row r="53" ht="15.75" customHeight="1">
      <c r="B53" s="45" t="s">
        <v>103</v>
      </c>
      <c r="C53" s="34">
        <v>8.73336603794E12</v>
      </c>
      <c r="D53" s="34">
        <v>8.025538409393E12</v>
      </c>
      <c r="G53" s="45" t="s">
        <v>192</v>
      </c>
      <c r="H53" s="34"/>
      <c r="I53" s="34"/>
      <c r="J53" s="34"/>
      <c r="K53" s="34"/>
      <c r="M53" s="45" t="s">
        <v>91</v>
      </c>
      <c r="N53" s="34">
        <v>5.59796E7</v>
      </c>
      <c r="O53" s="34">
        <v>1.22999102E8</v>
      </c>
      <c r="P53" s="34">
        <v>8.0894377E7</v>
      </c>
    </row>
    <row r="54" ht="15.75" customHeight="1">
      <c r="B54" s="45" t="s">
        <v>106</v>
      </c>
      <c r="C54" s="34"/>
      <c r="D54" s="34"/>
      <c r="G54" s="45" t="s">
        <v>193</v>
      </c>
      <c r="H54" s="34">
        <v>3.0064693944E10</v>
      </c>
      <c r="I54" s="34">
        <v>3.0064693944E10</v>
      </c>
      <c r="J54" s="34">
        <v>3.6625831621E10</v>
      </c>
      <c r="K54" s="34">
        <v>3.6625831621E10</v>
      </c>
      <c r="M54" s="45" t="s">
        <v>185</v>
      </c>
      <c r="N54" s="34">
        <v>2.10381674E8</v>
      </c>
      <c r="O54" s="34">
        <v>2.0944688E7</v>
      </c>
      <c r="P54" s="34">
        <v>7.4021534E7</v>
      </c>
    </row>
    <row r="55" ht="15.75" customHeight="1">
      <c r="B55" s="45" t="s">
        <v>109</v>
      </c>
      <c r="C55" s="34">
        <v>5.163350963119E12</v>
      </c>
      <c r="D55" s="34">
        <v>4.91474284613E12</v>
      </c>
      <c r="G55" s="45" t="s">
        <v>194</v>
      </c>
      <c r="H55" s="34">
        <v>-9.00622513E8</v>
      </c>
      <c r="I55" s="34">
        <v>-9.00622513E8</v>
      </c>
      <c r="J55" s="34">
        <v>-1.399499837E9</v>
      </c>
      <c r="K55" s="34">
        <v>-1.399499837E9</v>
      </c>
      <c r="M55" s="45" t="s">
        <v>195</v>
      </c>
      <c r="N55" s="34">
        <v>-1.54402074E8</v>
      </c>
      <c r="O55" s="34">
        <v>1.02054414E8</v>
      </c>
      <c r="P55" s="34">
        <v>6872843.0</v>
      </c>
    </row>
    <row r="56" ht="15.75" customHeight="1">
      <c r="B56" s="45" t="s">
        <v>196</v>
      </c>
      <c r="C56" s="34">
        <v>4.00012461457E11</v>
      </c>
      <c r="D56" s="34">
        <v>5.03924820654E11</v>
      </c>
      <c r="G56" s="45" t="s">
        <v>197</v>
      </c>
      <c r="H56" s="34"/>
      <c r="I56" s="34"/>
      <c r="J56" s="34"/>
      <c r="K56" s="34"/>
      <c r="M56" s="45" t="s">
        <v>190</v>
      </c>
      <c r="N56" s="34">
        <v>1.55973918344E11</v>
      </c>
      <c r="O56" s="34">
        <v>1.91092468161E11</v>
      </c>
      <c r="P56" s="34">
        <v>1.75267839828E11</v>
      </c>
    </row>
    <row r="57" ht="15.75" customHeight="1">
      <c r="B57" s="45" t="s">
        <v>198</v>
      </c>
      <c r="C57" s="34">
        <v>4.54289390541E11</v>
      </c>
      <c r="D57" s="34">
        <v>4.55034586958E11</v>
      </c>
      <c r="G57" s="45" t="s">
        <v>199</v>
      </c>
      <c r="H57" s="34">
        <v>3.0060477738E10</v>
      </c>
      <c r="I57" s="34">
        <v>3.0060477738E10</v>
      </c>
      <c r="J57" s="34">
        <v>3.6721231123E10</v>
      </c>
      <c r="K57" s="34">
        <v>3.6721231123E10</v>
      </c>
      <c r="M57" s="45" t="s">
        <v>192</v>
      </c>
      <c r="N57" s="35"/>
      <c r="O57" s="35"/>
      <c r="P57" s="35"/>
    </row>
    <row r="58" ht="15.75" customHeight="1">
      <c r="B58" s="45" t="s">
        <v>200</v>
      </c>
      <c r="C58" s="34">
        <v>1.923877498591E12</v>
      </c>
      <c r="D58" s="34">
        <v>1.790653761352E12</v>
      </c>
      <c r="G58" s="45" t="s">
        <v>201</v>
      </c>
      <c r="H58" s="34">
        <v>-9.00622513E8</v>
      </c>
      <c r="I58" s="34">
        <v>-9.00622513E8</v>
      </c>
      <c r="J58" s="34">
        <v>-1.399499837E9</v>
      </c>
      <c r="K58" s="34">
        <v>-1.399499837E9</v>
      </c>
      <c r="M58" s="45" t="s">
        <v>193</v>
      </c>
      <c r="N58" s="34">
        <v>1.72075960913E11</v>
      </c>
      <c r="O58" s="34">
        <v>2.24022359335E11</v>
      </c>
      <c r="P58" s="34">
        <v>1.18462749084E11</v>
      </c>
    </row>
    <row r="59" ht="15.75" customHeight="1">
      <c r="A59" s="46" t="s">
        <v>6</v>
      </c>
      <c r="B59" s="71" t="s">
        <v>202</v>
      </c>
      <c r="C59" s="41">
        <v>1.015E11</v>
      </c>
      <c r="D59" s="34">
        <v>4.1387008E11</v>
      </c>
      <c r="G59" s="45" t="s">
        <v>203</v>
      </c>
      <c r="H59" s="34"/>
      <c r="I59" s="34"/>
      <c r="J59" s="34"/>
      <c r="K59" s="34"/>
      <c r="M59" s="45" t="s">
        <v>194</v>
      </c>
      <c r="N59" s="34">
        <v>-1.180549936E9</v>
      </c>
      <c r="O59" s="34">
        <v>-2.62123944E9</v>
      </c>
      <c r="P59" s="34">
        <v>-2.543353364E9</v>
      </c>
    </row>
    <row r="60" ht="15.75" customHeight="1">
      <c r="A60" s="46" t="s">
        <v>6</v>
      </c>
      <c r="B60" s="71" t="s">
        <v>204</v>
      </c>
      <c r="C60" s="41">
        <v>2.5940002454E10</v>
      </c>
      <c r="D60" s="34">
        <v>2.9099312594E10</v>
      </c>
      <c r="G60" s="45" t="s">
        <v>205</v>
      </c>
      <c r="H60" s="35">
        <v>308.0</v>
      </c>
      <c r="I60" s="35">
        <v>308.0</v>
      </c>
      <c r="J60" s="35">
        <v>376.0</v>
      </c>
      <c r="K60" s="35">
        <v>376.0</v>
      </c>
      <c r="M60" s="45" t="s">
        <v>197</v>
      </c>
      <c r="N60" s="35"/>
      <c r="O60" s="35"/>
      <c r="P60" s="35"/>
    </row>
    <row r="61" ht="15.75" customHeight="1">
      <c r="B61" s="45" t="s">
        <v>206</v>
      </c>
      <c r="C61" s="34">
        <v>2.1825383229E10</v>
      </c>
      <c r="D61" s="34">
        <v>3.7150836166E10</v>
      </c>
      <c r="G61" s="45" t="s">
        <v>207</v>
      </c>
      <c r="H61" s="34">
        <v>308.0</v>
      </c>
      <c r="I61" s="34">
        <v>308.0</v>
      </c>
      <c r="J61" s="35">
        <v>376.0</v>
      </c>
      <c r="K61" s="35">
        <v>376.0</v>
      </c>
      <c r="M61" s="45" t="s">
        <v>199</v>
      </c>
      <c r="N61" s="34">
        <v>1.5718184293E11</v>
      </c>
      <c r="O61" s="34">
        <v>1.93979072885E11</v>
      </c>
      <c r="P61" s="34">
        <v>1.77872523074E11</v>
      </c>
    </row>
    <row r="62" ht="15.75" customHeight="1">
      <c r="B62" s="45" t="s">
        <v>208</v>
      </c>
      <c r="C62" s="34">
        <v>5.5516361257E10</v>
      </c>
      <c r="D62" s="34">
        <v>6.4007068063E10</v>
      </c>
      <c r="G62" s="18"/>
      <c r="M62" s="45" t="s">
        <v>201</v>
      </c>
      <c r="N62" s="34">
        <v>-1.207924586E9</v>
      </c>
      <c r="O62" s="34">
        <v>-2.886604724E9</v>
      </c>
      <c r="P62" s="34">
        <v>-2.604683246E9</v>
      </c>
    </row>
    <row r="63" ht="15.75" customHeight="1">
      <c r="B63" s="45" t="s">
        <v>209</v>
      </c>
      <c r="C63" s="34">
        <v>2.18038986559E12</v>
      </c>
      <c r="D63" s="34">
        <v>1.621002380343E12</v>
      </c>
      <c r="G63" s="18"/>
      <c r="M63" s="45" t="s">
        <v>203</v>
      </c>
      <c r="N63" s="35"/>
      <c r="O63" s="35"/>
      <c r="P63" s="35"/>
    </row>
    <row r="64" ht="15.75" customHeight="1">
      <c r="B64" s="45" t="s">
        <v>125</v>
      </c>
      <c r="C64" s="34">
        <v>1.862415890975E12</v>
      </c>
      <c r="D64" s="34">
        <v>1.383618681142E12</v>
      </c>
      <c r="G64" s="18"/>
      <c r="M64" s="45" t="s">
        <v>205</v>
      </c>
      <c r="N64" s="34">
        <v>1765.0</v>
      </c>
      <c r="O64" s="34">
        <v>2298.0</v>
      </c>
      <c r="P64" s="34">
        <v>1215.0</v>
      </c>
    </row>
    <row r="65" ht="15.75" customHeight="1">
      <c r="A65" s="46" t="s">
        <v>6</v>
      </c>
      <c r="B65" s="71" t="s">
        <v>210</v>
      </c>
      <c r="C65" s="41">
        <v>3.9471763413E10</v>
      </c>
      <c r="D65" s="34">
        <v>4.3462002449E10</v>
      </c>
      <c r="G65" s="18"/>
      <c r="M65" s="45" t="s">
        <v>207</v>
      </c>
      <c r="N65" s="34">
        <v>1765.0</v>
      </c>
      <c r="O65" s="34">
        <v>2298.0</v>
      </c>
      <c r="P65" s="34">
        <v>1215.0</v>
      </c>
    </row>
    <row r="66" ht="15.75" customHeight="1">
      <c r="A66" s="46" t="s">
        <v>6</v>
      </c>
      <c r="B66" s="71" t="s">
        <v>211</v>
      </c>
      <c r="C66" s="41">
        <v>1.048332985812E12</v>
      </c>
      <c r="D66" s="34">
        <v>5.49289349481E11</v>
      </c>
      <c r="G66" s="48"/>
      <c r="M66" s="18"/>
    </row>
    <row r="67" ht="15.75" customHeight="1">
      <c r="B67" s="45" t="s">
        <v>212</v>
      </c>
      <c r="C67" s="34">
        <v>2.2671553867E11</v>
      </c>
      <c r="D67" s="34">
        <v>2.38053665761E11</v>
      </c>
      <c r="M67" s="18"/>
    </row>
    <row r="68" ht="15.75" customHeight="1">
      <c r="B68" s="45" t="s">
        <v>213</v>
      </c>
      <c r="C68" s="34">
        <v>4.43932349786E11</v>
      </c>
      <c r="D68" s="34">
        <v>4.52225263324E11</v>
      </c>
      <c r="M68" s="18"/>
    </row>
    <row r="69" ht="15.75" customHeight="1">
      <c r="B69" s="45" t="s">
        <v>214</v>
      </c>
      <c r="C69" s="34">
        <v>5.6614752452E10</v>
      </c>
      <c r="D69" s="34">
        <v>5.4993625449E10</v>
      </c>
      <c r="M69" s="18"/>
    </row>
    <row r="70" ht="15.75" customHeight="1">
      <c r="B70" s="45" t="s">
        <v>215</v>
      </c>
      <c r="C70" s="34">
        <v>4.7348500842E10</v>
      </c>
      <c r="D70" s="34">
        <v>4.5594774678E10</v>
      </c>
      <c r="M70" s="48"/>
    </row>
    <row r="71" ht="15.75" customHeight="1">
      <c r="B71" s="45" t="s">
        <v>131</v>
      </c>
      <c r="C71" s="34">
        <v>7.025766854094E12</v>
      </c>
      <c r="D71" s="34">
        <v>6.298361527272E12</v>
      </c>
    </row>
    <row r="72" ht="15.75" customHeight="1">
      <c r="B72" s="45" t="s">
        <v>132</v>
      </c>
      <c r="C72" s="34"/>
      <c r="D72" s="34"/>
    </row>
    <row r="73" ht="15.75" customHeight="1">
      <c r="B73" s="45" t="s">
        <v>216</v>
      </c>
      <c r="C73" s="34">
        <v>1.687180167272E12</v>
      </c>
      <c r="D73" s="34">
        <v>1.705857243034E12</v>
      </c>
    </row>
    <row r="74" ht="15.75" customHeight="1">
      <c r="B74" s="45" t="s">
        <v>133</v>
      </c>
      <c r="C74" s="34">
        <v>4.87375535E11</v>
      </c>
      <c r="D74" s="34">
        <v>4.87375535E11</v>
      </c>
    </row>
    <row r="75" ht="15.75" customHeight="1">
      <c r="B75" s="45" t="s">
        <v>217</v>
      </c>
      <c r="C75" s="34">
        <v>1.24077485927E11</v>
      </c>
      <c r="D75" s="34">
        <v>1.24077485927E11</v>
      </c>
    </row>
    <row r="76" ht="15.75" customHeight="1">
      <c r="B76" s="45" t="s">
        <v>218</v>
      </c>
      <c r="C76" s="34">
        <v>1.092341286989E12</v>
      </c>
      <c r="D76" s="34">
        <v>1.111014146545E12</v>
      </c>
    </row>
    <row r="77" ht="15.75" customHeight="1">
      <c r="B77" s="45" t="s">
        <v>219</v>
      </c>
      <c r="C77" s="34">
        <v>-1.6614140644E10</v>
      </c>
      <c r="D77" s="34">
        <v>-1.6609924438E10</v>
      </c>
    </row>
    <row r="78" ht="15.75" customHeight="1">
      <c r="B78" s="45" t="s">
        <v>137</v>
      </c>
      <c r="C78" s="34">
        <v>2.0419016574E10</v>
      </c>
      <c r="D78" s="34">
        <v>2.1319639087E10</v>
      </c>
    </row>
    <row r="79" ht="15.75" customHeight="1">
      <c r="B79" s="45" t="s">
        <v>138</v>
      </c>
      <c r="C79" s="34">
        <v>1.707599183846E12</v>
      </c>
      <c r="D79" s="34">
        <v>1.727176882121E12</v>
      </c>
    </row>
    <row r="80" ht="15.75" customHeight="1">
      <c r="B80" s="45" t="s">
        <v>220</v>
      </c>
      <c r="C80" s="34">
        <v>8.73336603794E12</v>
      </c>
      <c r="D80" s="34">
        <v>8.025538409393E12</v>
      </c>
    </row>
    <row r="81" ht="15.75" customHeight="1">
      <c r="B81" s="18"/>
      <c r="C81" s="34">
        <v>8.25442446E8</v>
      </c>
      <c r="D81" s="34">
        <v>6.88613752E8</v>
      </c>
    </row>
    <row r="82" ht="15.75" customHeight="1">
      <c r="B82" s="48"/>
      <c r="C82" s="34">
        <v>-3.7942864E7</v>
      </c>
      <c r="D82" s="34">
        <v>-3.5892634E7</v>
      </c>
    </row>
    <row r="83" ht="15.75" customHeight="1">
      <c r="B83" s="39" t="s">
        <v>138</v>
      </c>
      <c r="C83" s="34">
        <v>2.147329022E9</v>
      </c>
      <c r="D83" s="34">
        <v>2.009085189E9</v>
      </c>
    </row>
    <row r="84" ht="15.75" customHeight="1">
      <c r="B84" s="39" t="s">
        <v>139</v>
      </c>
      <c r="C84" s="34">
        <v>5.244442521E9</v>
      </c>
      <c r="D84" s="34">
        <v>5.28539474E9</v>
      </c>
    </row>
    <row r="85" ht="15.75" customHeight="1">
      <c r="B85" s="20"/>
    </row>
    <row r="86" ht="15.75" customHeight="1">
      <c r="B86" s="42" t="s">
        <v>221</v>
      </c>
    </row>
    <row r="87" ht="15.75" customHeight="1">
      <c r="B87" s="20"/>
    </row>
    <row r="88" ht="15.75" customHeight="1">
      <c r="B88" s="20" t="s">
        <v>222</v>
      </c>
    </row>
    <row r="89" ht="15.75" customHeight="1">
      <c r="B89" s="20" t="s">
        <v>223</v>
      </c>
      <c r="C89" s="22" t="s">
        <v>45</v>
      </c>
    </row>
    <row r="90" ht="15.75" customHeight="1">
      <c r="B90" s="31"/>
      <c r="C90" s="31"/>
      <c r="D90" s="31" t="s">
        <v>224</v>
      </c>
    </row>
    <row r="91" ht="15.75" customHeight="1">
      <c r="B91" s="33" t="s">
        <v>225</v>
      </c>
      <c r="C91" s="27"/>
      <c r="D91" s="39"/>
    </row>
    <row r="92" ht="15.75" customHeight="1">
      <c r="B92" s="38" t="s">
        <v>225</v>
      </c>
      <c r="C92" s="39" t="s">
        <v>226</v>
      </c>
      <c r="D92" s="34">
        <v>4.0511892E8</v>
      </c>
    </row>
    <row r="93" ht="15.75" customHeight="1">
      <c r="B93" s="40"/>
      <c r="C93" s="39" t="s">
        <v>227</v>
      </c>
      <c r="D93" s="34">
        <v>9.1069677E7</v>
      </c>
    </row>
    <row r="94" ht="15.75" customHeight="1">
      <c r="B94" s="40"/>
      <c r="C94" s="47" t="s">
        <v>228</v>
      </c>
      <c r="D94" s="41">
        <v>5155517.0</v>
      </c>
    </row>
    <row r="95" ht="15.75" customHeight="1">
      <c r="B95" s="40"/>
      <c r="C95" s="39" t="s">
        <v>229</v>
      </c>
      <c r="D95" s="34">
        <v>2.79077989E8</v>
      </c>
    </row>
    <row r="96" ht="15.75" customHeight="1">
      <c r="B96" s="40"/>
      <c r="C96" s="39" t="s">
        <v>230</v>
      </c>
      <c r="D96" s="34">
        <v>-3668675.0</v>
      </c>
    </row>
    <row r="97" ht="15.75" customHeight="1">
      <c r="B97" s="40"/>
      <c r="C97" s="39" t="s">
        <v>231</v>
      </c>
      <c r="D97" s="34">
        <v>4.8737554E7</v>
      </c>
    </row>
    <row r="98" ht="15.75" customHeight="1">
      <c r="B98" s="32"/>
      <c r="C98" s="39" t="s">
        <v>232</v>
      </c>
      <c r="D98" s="34">
        <v>8.25490982E8</v>
      </c>
    </row>
    <row r="99" ht="15.75" customHeight="1">
      <c r="B99" s="33" t="s">
        <v>233</v>
      </c>
      <c r="C99" s="27"/>
      <c r="D99" s="39"/>
    </row>
    <row r="100" ht="15.75" customHeight="1">
      <c r="B100" s="38" t="s">
        <v>233</v>
      </c>
      <c r="C100" s="39" t="s">
        <v>234</v>
      </c>
      <c r="D100" s="34">
        <v>1.02965021E8</v>
      </c>
    </row>
    <row r="101" ht="15.75" customHeight="1">
      <c r="B101" s="40"/>
      <c r="C101" s="39" t="s">
        <v>235</v>
      </c>
      <c r="D101" s="34">
        <v>-548094.0</v>
      </c>
    </row>
    <row r="102" ht="15.75" customHeight="1">
      <c r="B102" s="40"/>
      <c r="C102" s="47" t="s">
        <v>236</v>
      </c>
      <c r="D102" s="41">
        <v>1.83117E7</v>
      </c>
    </row>
    <row r="103" ht="15.75" customHeight="1">
      <c r="B103" s="40"/>
      <c r="C103" s="39" t="s">
        <v>237</v>
      </c>
      <c r="D103" s="34">
        <v>8.8108363E7</v>
      </c>
    </row>
    <row r="104" ht="15.75" customHeight="1">
      <c r="B104" s="40"/>
      <c r="C104" s="39" t="s">
        <v>238</v>
      </c>
      <c r="D104" s="34">
        <v>-578280.0</v>
      </c>
    </row>
    <row r="105" ht="15.75" customHeight="1">
      <c r="B105" s="32"/>
      <c r="C105" s="39" t="s">
        <v>232</v>
      </c>
      <c r="D105" s="34">
        <v>2.0825871E8</v>
      </c>
    </row>
    <row r="106" ht="15.75" customHeight="1">
      <c r="B106" s="33" t="s">
        <v>21</v>
      </c>
      <c r="C106" s="27"/>
      <c r="D106" s="34">
        <v>1.033749692E9</v>
      </c>
    </row>
    <row r="107" ht="15.75" customHeight="1">
      <c r="B107" s="20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22:C22"/>
    <mergeCell ref="B23:C23"/>
    <mergeCell ref="B24:C24"/>
    <mergeCell ref="B25:C25"/>
    <mergeCell ref="G33:G34"/>
    <mergeCell ref="H33:I33"/>
    <mergeCell ref="J33:K33"/>
    <mergeCell ref="B88:C88"/>
    <mergeCell ref="B91:C91"/>
    <mergeCell ref="B92:B98"/>
    <mergeCell ref="B99:C99"/>
    <mergeCell ref="B100:B105"/>
    <mergeCell ref="B106:C106"/>
    <mergeCell ref="B13:C14"/>
    <mergeCell ref="D13:F13"/>
    <mergeCell ref="G13:G14"/>
    <mergeCell ref="B15:C15"/>
    <mergeCell ref="B16:C16"/>
    <mergeCell ref="B17:C17"/>
    <mergeCell ref="B18:B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88"/>
    <col customWidth="1" min="3" max="3" width="20.5"/>
    <col customWidth="1" min="4" max="4" width="15.0"/>
    <col customWidth="1" min="5" max="26" width="11.0"/>
  </cols>
  <sheetData>
    <row r="1" ht="15.75" customHeight="1">
      <c r="A1" s="1" t="s">
        <v>239</v>
      </c>
    </row>
    <row r="2" ht="15.75" customHeight="1">
      <c r="A2" s="2">
        <v>45777.0</v>
      </c>
    </row>
    <row r="3" ht="15.75" customHeight="1"/>
    <row r="4" ht="15.75" customHeight="1">
      <c r="G4" s="3" t="s">
        <v>1</v>
      </c>
      <c r="I4" s="1" t="s">
        <v>2</v>
      </c>
    </row>
    <row r="5" ht="15.75" customHeight="1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I5" s="7" t="s">
        <v>9</v>
      </c>
      <c r="J5" s="8"/>
      <c r="K5" s="8"/>
      <c r="L5" s="8"/>
      <c r="M5" s="9"/>
    </row>
    <row r="6" ht="15.75" customHeight="1">
      <c r="B6" s="72">
        <v>28950.0</v>
      </c>
      <c r="C6" s="11">
        <f>D32</f>
        <v>640465168</v>
      </c>
      <c r="D6" s="12">
        <f>(B6*C6)/10^6</f>
        <v>18541466.61</v>
      </c>
      <c r="E6" s="12">
        <f>SUMIF(A:A,E5,C:C)</f>
        <v>6444962</v>
      </c>
      <c r="F6" s="12">
        <f>(H58+N58-J58)</f>
        <v>802004</v>
      </c>
      <c r="G6" s="13">
        <f>IF(F6&lt;=200, 0.99, IF(F6&lt;=20000, 0.209, IF(F6&lt;=300000, 0.231, 0.264)))</f>
        <v>0.264</v>
      </c>
      <c r="I6" s="14"/>
      <c r="J6" s="15"/>
      <c r="K6" s="15"/>
      <c r="L6" s="15"/>
      <c r="M6" s="16"/>
    </row>
    <row r="7" ht="15.75" customHeight="1"/>
    <row r="8" ht="15.75" customHeight="1"/>
    <row r="9" ht="15.75" customHeight="1">
      <c r="B9" s="17" t="s">
        <v>10</v>
      </c>
    </row>
    <row r="10" ht="15.75" customHeight="1">
      <c r="B10" s="18"/>
    </row>
    <row r="11" ht="15.75" customHeight="1">
      <c r="B11" s="19" t="s">
        <v>11</v>
      </c>
    </row>
    <row r="12" ht="15.75" customHeight="1">
      <c r="B12" s="19" t="s">
        <v>240</v>
      </c>
      <c r="C12" s="44"/>
      <c r="D12" s="20"/>
      <c r="E12" s="22"/>
    </row>
    <row r="13" ht="15.75" customHeight="1">
      <c r="B13" s="19" t="s">
        <v>241</v>
      </c>
      <c r="C13" s="65"/>
      <c r="D13" s="65"/>
      <c r="E13" s="65"/>
      <c r="F13" s="65"/>
      <c r="G13" s="65"/>
      <c r="H13" s="73"/>
    </row>
    <row r="14" ht="15.75" customHeight="1">
      <c r="B14" s="19" t="s">
        <v>242</v>
      </c>
      <c r="C14" s="74"/>
      <c r="D14" s="75"/>
      <c r="E14" s="76"/>
      <c r="F14" s="65"/>
      <c r="G14" s="65"/>
      <c r="H14" s="73"/>
    </row>
    <row r="15" ht="15.75" customHeight="1">
      <c r="B15" s="19" t="s">
        <v>243</v>
      </c>
      <c r="C15" s="65"/>
      <c r="D15" s="77"/>
      <c r="E15" s="77"/>
      <c r="F15" s="77"/>
      <c r="G15" s="65"/>
      <c r="H15" s="73"/>
    </row>
    <row r="16" ht="15.75" customHeight="1">
      <c r="B16" s="19" t="s">
        <v>244</v>
      </c>
      <c r="C16" s="65"/>
      <c r="D16" s="77"/>
      <c r="E16" s="65"/>
      <c r="F16" s="77"/>
      <c r="G16" s="65"/>
      <c r="H16" s="73"/>
    </row>
    <row r="17" ht="15.75" customHeight="1">
      <c r="B17" s="19" t="s">
        <v>245</v>
      </c>
      <c r="C17" s="75"/>
      <c r="D17" s="78"/>
      <c r="E17" s="76"/>
      <c r="F17" s="78"/>
      <c r="G17" s="65"/>
      <c r="H17" s="73"/>
    </row>
    <row r="18" ht="15.75" customHeight="1">
      <c r="B18" s="19" t="s">
        <v>246</v>
      </c>
      <c r="C18" s="75"/>
      <c r="D18" s="78"/>
      <c r="E18" s="76"/>
      <c r="F18" s="78"/>
      <c r="G18" s="65"/>
      <c r="H18" s="73"/>
    </row>
    <row r="19" ht="15.75" customHeight="1">
      <c r="B19" s="19"/>
      <c r="C19" s="75"/>
      <c r="D19" s="78"/>
      <c r="E19" s="76"/>
      <c r="F19" s="78"/>
      <c r="G19" s="65"/>
      <c r="H19" s="73"/>
    </row>
    <row r="20" ht="15.75" customHeight="1">
      <c r="B20" s="20" t="s">
        <v>12</v>
      </c>
      <c r="C20" s="79">
        <v>45657.0</v>
      </c>
      <c r="D20" s="80" t="s">
        <v>14</v>
      </c>
      <c r="E20" s="22" t="s">
        <v>154</v>
      </c>
      <c r="F20" s="81"/>
      <c r="G20" s="82"/>
    </row>
    <row r="21" ht="15.75" customHeight="1">
      <c r="B21" s="23" t="s">
        <v>16</v>
      </c>
      <c r="C21" s="24"/>
      <c r="D21" s="25" t="s">
        <v>17</v>
      </c>
      <c r="E21" s="26"/>
      <c r="F21" s="27"/>
      <c r="G21" s="28" t="s">
        <v>18</v>
      </c>
    </row>
    <row r="22" ht="15.75" customHeight="1">
      <c r="B22" s="29"/>
      <c r="C22" s="30"/>
      <c r="D22" s="70" t="s">
        <v>19</v>
      </c>
      <c r="E22" s="31" t="s">
        <v>20</v>
      </c>
      <c r="F22" s="70" t="s">
        <v>21</v>
      </c>
      <c r="G22" s="32"/>
    </row>
    <row r="23" ht="15.75" customHeight="1">
      <c r="B23" s="33" t="s">
        <v>22</v>
      </c>
      <c r="C23" s="27"/>
      <c r="D23" s="34">
        <v>2.0E9</v>
      </c>
      <c r="E23" s="35" t="s">
        <v>23</v>
      </c>
      <c r="F23" s="34">
        <v>2.0E9</v>
      </c>
      <c r="G23" s="37" t="s">
        <v>23</v>
      </c>
    </row>
    <row r="24" ht="15.75" customHeight="1">
      <c r="B24" s="33" t="s">
        <v>25</v>
      </c>
      <c r="C24" s="27"/>
      <c r="D24" s="34">
        <v>6.42561146E8</v>
      </c>
      <c r="E24" s="34">
        <v>1.320354E7</v>
      </c>
      <c r="F24" s="34">
        <v>6.55764686E8</v>
      </c>
      <c r="G24" s="37" t="s">
        <v>23</v>
      </c>
    </row>
    <row r="25" ht="15.75" customHeight="1">
      <c r="B25" s="33" t="s">
        <v>26</v>
      </c>
      <c r="C25" s="27"/>
      <c r="D25" s="34">
        <v>2000000.0</v>
      </c>
      <c r="E25" s="34">
        <v>1.320354E7</v>
      </c>
      <c r="F25" s="34">
        <v>1.520354E7</v>
      </c>
      <c r="G25" s="37" t="s">
        <v>23</v>
      </c>
    </row>
    <row r="26" ht="15.75" customHeight="1">
      <c r="B26" s="38"/>
      <c r="C26" s="39" t="s">
        <v>27</v>
      </c>
      <c r="D26" s="34">
        <v>2000000.0</v>
      </c>
      <c r="E26" s="35" t="s">
        <v>23</v>
      </c>
      <c r="F26" s="34">
        <v>2000000.0</v>
      </c>
      <c r="G26" s="37" t="s">
        <v>23</v>
      </c>
    </row>
    <row r="27" ht="15.75" customHeight="1">
      <c r="B27" s="40"/>
      <c r="C27" s="39" t="s">
        <v>28</v>
      </c>
      <c r="D27" s="35" t="s">
        <v>23</v>
      </c>
      <c r="E27" s="35" t="s">
        <v>23</v>
      </c>
      <c r="F27" s="35" t="s">
        <v>23</v>
      </c>
      <c r="G27" s="37" t="s">
        <v>23</v>
      </c>
    </row>
    <row r="28" ht="13.5" customHeight="1">
      <c r="B28" s="40"/>
      <c r="C28" s="39" t="s">
        <v>29</v>
      </c>
      <c r="D28" s="35" t="s">
        <v>23</v>
      </c>
      <c r="E28" s="34">
        <v>1.290421E7</v>
      </c>
      <c r="F28" s="34">
        <v>1.290421E7</v>
      </c>
      <c r="G28" s="39" t="s">
        <v>247</v>
      </c>
    </row>
    <row r="29" ht="13.5" customHeight="1">
      <c r="B29" s="32"/>
      <c r="C29" s="39" t="s">
        <v>30</v>
      </c>
      <c r="D29" s="35" t="s">
        <v>23</v>
      </c>
      <c r="E29" s="34">
        <v>299330.0</v>
      </c>
      <c r="F29" s="34">
        <v>299330.0</v>
      </c>
      <c r="G29" s="39" t="s">
        <v>248</v>
      </c>
    </row>
    <row r="30" ht="13.5" customHeight="1">
      <c r="B30" s="33" t="s">
        <v>31</v>
      </c>
      <c r="C30" s="27"/>
      <c r="D30" s="34">
        <v>6.40561146E8</v>
      </c>
      <c r="E30" s="35" t="s">
        <v>23</v>
      </c>
      <c r="F30" s="34">
        <v>6.40561146E8</v>
      </c>
      <c r="G30" s="37" t="s">
        <v>23</v>
      </c>
    </row>
    <row r="31" ht="13.5" customHeight="1">
      <c r="B31" s="33" t="s">
        <v>32</v>
      </c>
      <c r="C31" s="27"/>
      <c r="D31" s="34">
        <v>95978.0</v>
      </c>
      <c r="E31" s="35" t="s">
        <v>23</v>
      </c>
      <c r="F31" s="34">
        <v>95978.0</v>
      </c>
      <c r="G31" s="39" t="s">
        <v>249</v>
      </c>
    </row>
    <row r="32" ht="13.5" customHeight="1">
      <c r="B32" s="33" t="s">
        <v>33</v>
      </c>
      <c r="C32" s="27"/>
      <c r="D32" s="34">
        <v>6.40465168E8</v>
      </c>
      <c r="E32" s="35" t="s">
        <v>23</v>
      </c>
      <c r="F32" s="34">
        <v>6.40465168E8</v>
      </c>
      <c r="G32" s="37" t="s">
        <v>23</v>
      </c>
    </row>
    <row r="33" ht="13.5" customHeight="1">
      <c r="B33" s="33" t="s">
        <v>34</v>
      </c>
      <c r="C33" s="27"/>
      <c r="D33" s="35" t="s">
        <v>23</v>
      </c>
      <c r="E33" s="35" t="s">
        <v>23</v>
      </c>
      <c r="F33" s="35" t="s">
        <v>23</v>
      </c>
      <c r="G33" s="37" t="s">
        <v>23</v>
      </c>
    </row>
    <row r="34" ht="13.5" customHeight="1">
      <c r="B34" s="83" t="s">
        <v>250</v>
      </c>
    </row>
    <row r="35" ht="13.5" customHeight="1">
      <c r="B35" s="20"/>
    </row>
    <row r="36" ht="13.5" customHeight="1">
      <c r="B36" s="20"/>
    </row>
    <row r="37" ht="13.5" customHeight="1">
      <c r="B37" s="20"/>
    </row>
    <row r="38" ht="13.5" customHeight="1">
      <c r="B38" s="20"/>
    </row>
    <row r="39" ht="13.5" customHeight="1">
      <c r="B39" s="42" t="s">
        <v>35</v>
      </c>
    </row>
    <row r="40" ht="13.5" customHeight="1">
      <c r="B40" s="43" t="s">
        <v>37</v>
      </c>
    </row>
    <row r="41" ht="13.5" customHeight="1">
      <c r="B41" s="44" t="s">
        <v>251</v>
      </c>
    </row>
    <row r="42" ht="13.5" customHeight="1">
      <c r="B42" s="44" t="s">
        <v>252</v>
      </c>
    </row>
    <row r="43" ht="13.5" customHeight="1">
      <c r="B43" s="22" t="s">
        <v>253</v>
      </c>
    </row>
    <row r="44" ht="13.5" customHeight="1">
      <c r="B44" s="31"/>
      <c r="C44" s="31" t="s">
        <v>254</v>
      </c>
      <c r="D44" s="31" t="s">
        <v>255</v>
      </c>
    </row>
    <row r="45" ht="13.5" customHeight="1">
      <c r="B45" s="45" t="s">
        <v>51</v>
      </c>
      <c r="C45" s="35"/>
      <c r="D45" s="35"/>
    </row>
    <row r="46" ht="15.75" customHeight="1">
      <c r="B46" s="45" t="s">
        <v>57</v>
      </c>
      <c r="C46" s="34">
        <v>1.0508418E7</v>
      </c>
      <c r="D46" s="34">
        <v>1.0049022E7</v>
      </c>
    </row>
    <row r="47" ht="15.75" customHeight="1">
      <c r="B47" s="45" t="s">
        <v>256</v>
      </c>
      <c r="C47" s="34">
        <v>2609660.0</v>
      </c>
      <c r="D47" s="34">
        <v>2898298.0</v>
      </c>
      <c r="G47" s="42" t="s">
        <v>257</v>
      </c>
      <c r="M47" s="42" t="s">
        <v>257</v>
      </c>
    </row>
    <row r="48" ht="15.75" customHeight="1">
      <c r="B48" s="45" t="s">
        <v>258</v>
      </c>
      <c r="C48" s="34">
        <v>151970.0</v>
      </c>
      <c r="D48" s="34">
        <v>143577.0</v>
      </c>
      <c r="G48" s="43" t="s">
        <v>259</v>
      </c>
      <c r="M48" s="43" t="s">
        <v>259</v>
      </c>
    </row>
    <row r="49" ht="15.75" customHeight="1">
      <c r="B49" s="45" t="s">
        <v>260</v>
      </c>
      <c r="C49" s="35">
        <v>0.0</v>
      </c>
      <c r="D49" s="35">
        <v>0.0</v>
      </c>
      <c r="G49" s="44" t="s">
        <v>261</v>
      </c>
      <c r="M49" s="44" t="s">
        <v>262</v>
      </c>
    </row>
    <row r="50" ht="15.75" customHeight="1">
      <c r="B50" s="45" t="s">
        <v>263</v>
      </c>
      <c r="C50" s="34">
        <v>1571054.0</v>
      </c>
      <c r="D50" s="34">
        <v>1290275.0</v>
      </c>
      <c r="G50" s="44" t="s">
        <v>264</v>
      </c>
      <c r="M50" s="44" t="s">
        <v>265</v>
      </c>
    </row>
    <row r="51" ht="15.75" customHeight="1">
      <c r="B51" s="45" t="s">
        <v>266</v>
      </c>
      <c r="C51" s="34">
        <v>1785013.0</v>
      </c>
      <c r="D51" s="34">
        <v>1594506.0</v>
      </c>
      <c r="G51" s="22" t="s">
        <v>253</v>
      </c>
      <c r="M51" s="44" t="s">
        <v>267</v>
      </c>
    </row>
    <row r="52" ht="15.75" customHeight="1">
      <c r="B52" s="45" t="s">
        <v>268</v>
      </c>
      <c r="C52" s="34">
        <v>419182.0</v>
      </c>
      <c r="D52" s="34">
        <v>477472.0</v>
      </c>
      <c r="G52" s="28"/>
      <c r="H52" s="25" t="s">
        <v>269</v>
      </c>
      <c r="I52" s="27"/>
      <c r="J52" s="25" t="s">
        <v>270</v>
      </c>
      <c r="K52" s="27"/>
      <c r="M52" s="22" t="s">
        <v>253</v>
      </c>
    </row>
    <row r="53" ht="15.75" customHeight="1">
      <c r="B53" s="45" t="s">
        <v>271</v>
      </c>
      <c r="C53" s="34">
        <v>377116.0</v>
      </c>
      <c r="D53" s="34">
        <v>360750.0</v>
      </c>
      <c r="E53" s="44"/>
      <c r="G53" s="32"/>
      <c r="H53" s="31" t="s">
        <v>52</v>
      </c>
      <c r="I53" s="31" t="s">
        <v>53</v>
      </c>
      <c r="J53" s="31" t="s">
        <v>52</v>
      </c>
      <c r="K53" s="31" t="s">
        <v>53</v>
      </c>
      <c r="M53" s="31"/>
      <c r="N53" s="31" t="s">
        <v>272</v>
      </c>
      <c r="O53" s="31" t="s">
        <v>273</v>
      </c>
      <c r="P53" s="31" t="s">
        <v>274</v>
      </c>
    </row>
    <row r="54" ht="15.75" customHeight="1">
      <c r="B54" s="45" t="s">
        <v>275</v>
      </c>
      <c r="C54" s="34">
        <v>176592.0</v>
      </c>
      <c r="D54" s="34">
        <v>131249.0</v>
      </c>
      <c r="E54" s="22"/>
      <c r="G54" s="45" t="s">
        <v>276</v>
      </c>
      <c r="H54" s="34">
        <v>3748574.0</v>
      </c>
      <c r="I54" s="34">
        <v>3748574.0</v>
      </c>
      <c r="J54" s="34">
        <v>4097867.0</v>
      </c>
      <c r="K54" s="34">
        <v>4097867.0</v>
      </c>
      <c r="M54" s="45" t="s">
        <v>276</v>
      </c>
      <c r="N54" s="34">
        <v>1.6233055E7</v>
      </c>
      <c r="O54" s="34">
        <v>1.7589888E7</v>
      </c>
      <c r="P54" s="34">
        <v>1.5421058E7</v>
      </c>
    </row>
    <row r="55" ht="15.75" customHeight="1">
      <c r="B55" s="45" t="s">
        <v>277</v>
      </c>
      <c r="C55" s="34">
        <v>28796.0</v>
      </c>
      <c r="D55" s="34">
        <v>27611.0</v>
      </c>
      <c r="E55" s="84"/>
      <c r="G55" s="45" t="s">
        <v>278</v>
      </c>
      <c r="H55" s="34">
        <v>3150914.0</v>
      </c>
      <c r="I55" s="34">
        <v>3150914.0</v>
      </c>
      <c r="J55" s="34">
        <v>3350759.0</v>
      </c>
      <c r="K55" s="34">
        <v>3350759.0</v>
      </c>
      <c r="M55" s="45" t="s">
        <v>278</v>
      </c>
      <c r="N55" s="34">
        <v>1.3503336E7</v>
      </c>
      <c r="O55" s="34">
        <v>1.4572887E7</v>
      </c>
      <c r="P55" s="34">
        <v>1.2865181E7</v>
      </c>
    </row>
    <row r="56" ht="15.75" customHeight="1">
      <c r="B56" s="45" t="s">
        <v>279</v>
      </c>
      <c r="C56" s="34">
        <v>17712.0</v>
      </c>
      <c r="D56" s="34">
        <v>37905.0</v>
      </c>
      <c r="E56" s="84"/>
      <c r="G56" s="45" t="s">
        <v>62</v>
      </c>
      <c r="H56" s="34">
        <v>597660.0</v>
      </c>
      <c r="I56" s="34">
        <v>597660.0</v>
      </c>
      <c r="J56" s="34">
        <v>747108.0</v>
      </c>
      <c r="K56" s="34">
        <v>747108.0</v>
      </c>
      <c r="M56" s="45" t="s">
        <v>62</v>
      </c>
      <c r="N56" s="34">
        <v>2729719.0</v>
      </c>
      <c r="O56" s="34">
        <v>3017001.0</v>
      </c>
      <c r="P56" s="34">
        <v>2555877.0</v>
      </c>
    </row>
    <row r="57" ht="15.75" customHeight="1">
      <c r="B57" s="45" t="s">
        <v>280</v>
      </c>
      <c r="C57" s="34">
        <v>108750.0</v>
      </c>
      <c r="D57" s="34">
        <v>114250.0</v>
      </c>
      <c r="E57" s="84"/>
      <c r="G57" s="45" t="s">
        <v>281</v>
      </c>
      <c r="H57" s="34">
        <v>455185.0</v>
      </c>
      <c r="I57" s="34">
        <v>455185.0</v>
      </c>
      <c r="J57" s="34">
        <v>389037.0</v>
      </c>
      <c r="K57" s="34">
        <v>389037.0</v>
      </c>
      <c r="M57" s="45" t="s">
        <v>281</v>
      </c>
      <c r="N57" s="34">
        <v>1712119.0</v>
      </c>
      <c r="O57" s="34">
        <v>1549683.0</v>
      </c>
      <c r="P57" s="34">
        <v>1449756.0</v>
      </c>
    </row>
    <row r="58" ht="15.75" customHeight="1">
      <c r="B58" s="45" t="s">
        <v>282</v>
      </c>
      <c r="C58" s="34">
        <v>3037819.0</v>
      </c>
      <c r="D58" s="34">
        <v>2733933.0</v>
      </c>
      <c r="E58" s="84"/>
      <c r="G58" s="71" t="s">
        <v>283</v>
      </c>
      <c r="H58" s="41">
        <v>142475.0</v>
      </c>
      <c r="I58" s="41">
        <v>142475.0</v>
      </c>
      <c r="J58" s="41">
        <v>358071.0</v>
      </c>
      <c r="K58" s="41">
        <v>358071.0</v>
      </c>
      <c r="L58" s="46"/>
      <c r="M58" s="71" t="s">
        <v>283</v>
      </c>
      <c r="N58" s="41">
        <v>1017600.0</v>
      </c>
      <c r="O58" s="34">
        <v>1467318.0</v>
      </c>
      <c r="P58" s="34">
        <v>1106121.0</v>
      </c>
    </row>
    <row r="59" ht="15.75" customHeight="1">
      <c r="B59" s="45" t="s">
        <v>284</v>
      </c>
      <c r="C59" s="34">
        <v>1291.0</v>
      </c>
      <c r="D59" s="34">
        <v>1506.0</v>
      </c>
      <c r="E59" s="84"/>
      <c r="G59" s="45" t="s">
        <v>285</v>
      </c>
      <c r="H59" s="34">
        <v>-79445.0</v>
      </c>
      <c r="I59" s="34">
        <v>-79445.0</v>
      </c>
      <c r="J59" s="34">
        <v>-14695.0</v>
      </c>
      <c r="K59" s="34">
        <v>-14695.0</v>
      </c>
      <c r="M59" s="45" t="s">
        <v>285</v>
      </c>
      <c r="N59" s="34">
        <v>-181252.0</v>
      </c>
      <c r="O59" s="34">
        <v>-267951.0</v>
      </c>
      <c r="P59" s="34">
        <v>-477603.0</v>
      </c>
    </row>
    <row r="60" ht="15.75" customHeight="1">
      <c r="B60" s="45" t="s">
        <v>286</v>
      </c>
      <c r="C60" s="34">
        <v>223463.0</v>
      </c>
      <c r="D60" s="34">
        <v>237690.0</v>
      </c>
      <c r="E60" s="84"/>
      <c r="G60" s="45" t="s">
        <v>287</v>
      </c>
      <c r="H60" s="34">
        <v>269121.0</v>
      </c>
      <c r="I60" s="34">
        <v>269121.0</v>
      </c>
      <c r="J60" s="34">
        <v>349958.0</v>
      </c>
      <c r="K60" s="34">
        <v>349958.0</v>
      </c>
      <c r="M60" s="45" t="s">
        <v>287</v>
      </c>
      <c r="N60" s="34">
        <v>1155804.0</v>
      </c>
      <c r="O60" s="34">
        <v>595111.0</v>
      </c>
      <c r="P60" s="34">
        <v>747016.0</v>
      </c>
    </row>
    <row r="61" ht="15.75" customHeight="1">
      <c r="B61" s="45" t="s">
        <v>75</v>
      </c>
      <c r="C61" s="34">
        <v>1.6388575E7</v>
      </c>
      <c r="D61" s="34">
        <v>1.6265813E7</v>
      </c>
      <c r="E61" s="84"/>
      <c r="G61" s="45" t="s">
        <v>288</v>
      </c>
      <c r="H61" s="34">
        <v>348566.0</v>
      </c>
      <c r="I61" s="34">
        <v>348566.0</v>
      </c>
      <c r="J61" s="34">
        <v>364653.0</v>
      </c>
      <c r="K61" s="34">
        <v>364653.0</v>
      </c>
      <c r="M61" s="45" t="s">
        <v>288</v>
      </c>
      <c r="N61" s="34">
        <v>1337056.0</v>
      </c>
      <c r="O61" s="34">
        <v>863062.0</v>
      </c>
      <c r="P61" s="34">
        <v>1224619.0</v>
      </c>
    </row>
    <row r="62" ht="15.75" customHeight="1">
      <c r="B62" s="45" t="s">
        <v>289</v>
      </c>
      <c r="C62" s="34">
        <v>25079.0</v>
      </c>
      <c r="D62" s="34">
        <v>25117.0</v>
      </c>
      <c r="E62" s="84"/>
      <c r="G62" s="45" t="s">
        <v>290</v>
      </c>
      <c r="H62" s="34">
        <v>-34702.0</v>
      </c>
      <c r="I62" s="34">
        <v>-34702.0</v>
      </c>
      <c r="J62" s="34">
        <v>18932.0</v>
      </c>
      <c r="K62" s="34">
        <v>18932.0</v>
      </c>
      <c r="M62" s="45" t="s">
        <v>290</v>
      </c>
      <c r="N62" s="34">
        <v>-199053.0</v>
      </c>
      <c r="O62" s="34">
        <v>-422197.0</v>
      </c>
      <c r="P62" s="34">
        <v>-584512.0</v>
      </c>
    </row>
    <row r="63" ht="15.75" customHeight="1">
      <c r="B63" s="45" t="s">
        <v>291</v>
      </c>
      <c r="C63" s="34">
        <v>454764.0</v>
      </c>
      <c r="D63" s="34">
        <v>436601.0</v>
      </c>
      <c r="E63" s="84"/>
      <c r="G63" s="45" t="s">
        <v>292</v>
      </c>
      <c r="H63" s="34">
        <v>4624.0</v>
      </c>
      <c r="I63" s="34">
        <v>4624.0</v>
      </c>
      <c r="J63" s="34">
        <v>36346.0</v>
      </c>
      <c r="K63" s="34">
        <v>36346.0</v>
      </c>
      <c r="M63" s="45" t="s">
        <v>292</v>
      </c>
      <c r="N63" s="34">
        <v>143768.0</v>
      </c>
      <c r="O63" s="34">
        <v>49304.0</v>
      </c>
      <c r="P63" s="34">
        <v>158644.0</v>
      </c>
    </row>
    <row r="64" ht="15.75" customHeight="1">
      <c r="B64" s="45" t="s">
        <v>293</v>
      </c>
      <c r="C64" s="34">
        <v>348456.0</v>
      </c>
      <c r="D64" s="34">
        <v>347660.0</v>
      </c>
      <c r="E64" s="84"/>
      <c r="G64" s="45" t="s">
        <v>294</v>
      </c>
      <c r="H64" s="34">
        <v>39326.0</v>
      </c>
      <c r="I64" s="34">
        <v>39326.0</v>
      </c>
      <c r="J64" s="34">
        <v>17414.0</v>
      </c>
      <c r="K64" s="34">
        <v>17414.0</v>
      </c>
      <c r="M64" s="45" t="s">
        <v>294</v>
      </c>
      <c r="N64" s="34">
        <v>342821.0</v>
      </c>
      <c r="O64" s="34">
        <v>471501.0</v>
      </c>
      <c r="P64" s="34">
        <v>743156.0</v>
      </c>
    </row>
    <row r="65" ht="15.75" customHeight="1">
      <c r="B65" s="45" t="s">
        <v>295</v>
      </c>
      <c r="C65" s="34">
        <v>148235.0</v>
      </c>
      <c r="D65" s="34">
        <v>171691.0</v>
      </c>
      <c r="E65" s="84"/>
      <c r="G65" s="45" t="s">
        <v>296</v>
      </c>
      <c r="H65" s="34">
        <v>1879.0</v>
      </c>
      <c r="I65" s="34">
        <v>1879.0</v>
      </c>
      <c r="J65" s="34">
        <v>6530.0</v>
      </c>
      <c r="K65" s="34">
        <v>6530.0</v>
      </c>
      <c r="M65" s="45" t="s">
        <v>296</v>
      </c>
      <c r="N65" s="34">
        <v>20484.0</v>
      </c>
      <c r="O65" s="34">
        <v>-38688.0</v>
      </c>
      <c r="P65" s="34">
        <v>-230486.0</v>
      </c>
    </row>
    <row r="66" ht="15.75" customHeight="1">
      <c r="B66" s="45" t="s">
        <v>297</v>
      </c>
      <c r="C66" s="34">
        <v>5716936.0</v>
      </c>
      <c r="D66" s="34">
        <v>5703049.0</v>
      </c>
      <c r="E66" s="84"/>
      <c r="G66" s="45" t="s">
        <v>298</v>
      </c>
      <c r="H66" s="34">
        <v>30207.0</v>
      </c>
      <c r="I66" s="34">
        <v>30207.0</v>
      </c>
      <c r="J66" s="34">
        <v>368838.0</v>
      </c>
      <c r="K66" s="34">
        <v>368838.0</v>
      </c>
      <c r="M66" s="45" t="s">
        <v>298</v>
      </c>
      <c r="N66" s="34">
        <v>657779.0</v>
      </c>
      <c r="O66" s="34">
        <v>738482.0</v>
      </c>
      <c r="P66" s="34">
        <v>-186480.0</v>
      </c>
    </row>
    <row r="67" ht="15.75" customHeight="1">
      <c r="B67" s="45" t="s">
        <v>299</v>
      </c>
      <c r="C67" s="34">
        <v>8515804.0</v>
      </c>
      <c r="D67" s="34">
        <v>8397290.0</v>
      </c>
      <c r="E67" s="84"/>
      <c r="G67" s="45" t="s">
        <v>300</v>
      </c>
      <c r="H67" s="34">
        <v>51364.0</v>
      </c>
      <c r="I67" s="34">
        <v>51364.0</v>
      </c>
      <c r="J67" s="34">
        <v>107786.0</v>
      </c>
      <c r="K67" s="34">
        <v>107786.0</v>
      </c>
      <c r="M67" s="45" t="s">
        <v>300</v>
      </c>
      <c r="N67" s="34">
        <v>263090.0</v>
      </c>
      <c r="O67" s="34">
        <v>220960.0</v>
      </c>
      <c r="P67" s="34">
        <v>146997.0</v>
      </c>
    </row>
    <row r="68" ht="15.75" customHeight="1">
      <c r="B68" s="45" t="s">
        <v>301</v>
      </c>
      <c r="C68" s="34">
        <v>226689.0</v>
      </c>
      <c r="D68" s="34">
        <v>228288.0</v>
      </c>
      <c r="E68" s="84"/>
      <c r="G68" s="45" t="s">
        <v>302</v>
      </c>
      <c r="H68" s="34">
        <v>-21157.0</v>
      </c>
      <c r="I68" s="34">
        <v>-21157.0</v>
      </c>
      <c r="J68" s="34">
        <v>261052.0</v>
      </c>
      <c r="K68" s="34">
        <v>261052.0</v>
      </c>
      <c r="M68" s="45" t="s">
        <v>303</v>
      </c>
      <c r="N68" s="34"/>
      <c r="O68" s="34"/>
      <c r="P68" s="34">
        <v>-333477.0</v>
      </c>
    </row>
    <row r="69" ht="15.75" customHeight="1">
      <c r="B69" s="45" t="s">
        <v>279</v>
      </c>
      <c r="C69" s="34">
        <v>25983.0</v>
      </c>
      <c r="D69" s="34">
        <v>17772.0</v>
      </c>
      <c r="E69" s="84"/>
      <c r="G69" s="45" t="s">
        <v>304</v>
      </c>
      <c r="H69" s="34"/>
      <c r="I69" s="34"/>
      <c r="J69" s="34"/>
      <c r="K69" s="34"/>
      <c r="M69" s="45" t="s">
        <v>305</v>
      </c>
      <c r="N69" s="34"/>
      <c r="O69" s="34"/>
      <c r="P69" s="34">
        <v>-119673.0</v>
      </c>
    </row>
    <row r="70" ht="15.75" customHeight="1">
      <c r="B70" s="45" t="s">
        <v>280</v>
      </c>
      <c r="C70" s="34">
        <v>10979.0</v>
      </c>
      <c r="D70" s="34">
        <v>13537.0</v>
      </c>
      <c r="E70" s="84"/>
      <c r="G70" s="45" t="s">
        <v>306</v>
      </c>
      <c r="H70" s="34">
        <v>-68860.0</v>
      </c>
      <c r="I70" s="34">
        <v>-68860.0</v>
      </c>
      <c r="J70" s="34">
        <v>144160.0</v>
      </c>
      <c r="K70" s="34">
        <v>144160.0</v>
      </c>
      <c r="M70" s="45" t="s">
        <v>181</v>
      </c>
      <c r="N70" s="34">
        <v>394689.0</v>
      </c>
      <c r="O70" s="34">
        <v>517522.0</v>
      </c>
      <c r="P70" s="34">
        <v>-453150.0</v>
      </c>
    </row>
    <row r="71" ht="15.75" customHeight="1">
      <c r="B71" s="45" t="s">
        <v>307</v>
      </c>
      <c r="C71" s="34">
        <v>150839.0</v>
      </c>
      <c r="D71" s="34">
        <v>169612.0</v>
      </c>
      <c r="E71" s="84"/>
      <c r="G71" s="45" t="s">
        <v>137</v>
      </c>
      <c r="H71" s="34">
        <v>47703.0</v>
      </c>
      <c r="I71" s="34">
        <v>47703.0</v>
      </c>
      <c r="J71" s="34">
        <v>116892.0</v>
      </c>
      <c r="K71" s="34">
        <v>116892.0</v>
      </c>
      <c r="M71" s="45" t="s">
        <v>192</v>
      </c>
      <c r="N71" s="34"/>
      <c r="O71" s="34"/>
      <c r="P71" s="34"/>
    </row>
    <row r="72" ht="15.75" customHeight="1">
      <c r="B72" s="45" t="s">
        <v>101</v>
      </c>
      <c r="C72" s="34">
        <v>557815.0</v>
      </c>
      <c r="D72" s="34">
        <v>556161.0</v>
      </c>
      <c r="E72" s="84"/>
      <c r="G72" s="45" t="s">
        <v>308</v>
      </c>
      <c r="H72" s="34"/>
      <c r="I72" s="34"/>
      <c r="J72" s="34"/>
      <c r="K72" s="34"/>
      <c r="M72" s="45" t="s">
        <v>306</v>
      </c>
      <c r="N72" s="34">
        <v>111365.0</v>
      </c>
      <c r="O72" s="34">
        <v>55598.0</v>
      </c>
      <c r="P72" s="34">
        <v>-772492.0</v>
      </c>
    </row>
    <row r="73" ht="15.75" customHeight="1">
      <c r="B73" s="45" t="s">
        <v>309</v>
      </c>
      <c r="C73" s="34">
        <v>14315.0</v>
      </c>
      <c r="D73" s="34">
        <v>16927.0</v>
      </c>
      <c r="E73" s="84"/>
      <c r="G73" s="85" t="s">
        <v>310</v>
      </c>
      <c r="H73" s="86">
        <v>-108.0</v>
      </c>
      <c r="I73" s="86">
        <v>-108.0</v>
      </c>
      <c r="J73" s="86">
        <v>225.0</v>
      </c>
      <c r="K73" s="86">
        <v>225.0</v>
      </c>
      <c r="M73" s="45" t="s">
        <v>137</v>
      </c>
      <c r="N73" s="34">
        <v>283324.0</v>
      </c>
      <c r="O73" s="34">
        <v>461924.0</v>
      </c>
      <c r="P73" s="34">
        <v>319342.0</v>
      </c>
    </row>
    <row r="74" ht="15.75" customHeight="1">
      <c r="B74" s="45" t="s">
        <v>311</v>
      </c>
      <c r="C74" s="34">
        <v>192681.0</v>
      </c>
      <c r="D74" s="34">
        <v>182108.0</v>
      </c>
      <c r="E74" s="84"/>
      <c r="G74" s="87" t="s">
        <v>312</v>
      </c>
      <c r="H74" s="88">
        <v>-108.0</v>
      </c>
      <c r="I74" s="88">
        <v>-108.0</v>
      </c>
      <c r="J74" s="88">
        <v>225.0</v>
      </c>
      <c r="K74" s="88">
        <v>225.0</v>
      </c>
      <c r="M74" s="45" t="s">
        <v>308</v>
      </c>
      <c r="N74" s="34"/>
      <c r="O74" s="34"/>
      <c r="P74" s="34"/>
    </row>
    <row r="75" ht="15.75" customHeight="1">
      <c r="B75" s="45" t="s">
        <v>103</v>
      </c>
      <c r="C75" s="34">
        <v>2.6896993E7</v>
      </c>
      <c r="D75" s="34">
        <v>2.6314835E7</v>
      </c>
      <c r="E75" s="84"/>
      <c r="G75" s="18"/>
      <c r="H75" s="84"/>
      <c r="I75" s="84"/>
      <c r="J75" s="84"/>
      <c r="K75" s="84"/>
      <c r="M75" s="45" t="s">
        <v>310</v>
      </c>
      <c r="N75" s="34">
        <v>174.0</v>
      </c>
      <c r="O75" s="34">
        <v>87.0</v>
      </c>
      <c r="P75" s="34">
        <v>-1249.0</v>
      </c>
    </row>
    <row r="76" ht="15.75" customHeight="1">
      <c r="B76" s="45" t="s">
        <v>106</v>
      </c>
      <c r="C76" s="34"/>
      <c r="D76" s="34"/>
      <c r="E76" s="84"/>
      <c r="G76" s="48"/>
      <c r="H76" s="84"/>
      <c r="I76" s="84"/>
      <c r="J76" s="84"/>
      <c r="K76" s="84"/>
      <c r="M76" s="45" t="s">
        <v>313</v>
      </c>
      <c r="N76" s="35"/>
      <c r="O76" s="35"/>
      <c r="P76" s="34">
        <v>-1056.0</v>
      </c>
    </row>
    <row r="77" ht="15.75" customHeight="1">
      <c r="B77" s="45" t="s">
        <v>109</v>
      </c>
      <c r="C77" s="34">
        <v>9510646.0</v>
      </c>
      <c r="D77" s="34">
        <v>8945820.0</v>
      </c>
      <c r="E77" s="84"/>
      <c r="G77" s="42"/>
      <c r="H77" s="84"/>
      <c r="I77" s="84"/>
      <c r="J77" s="84"/>
      <c r="K77" s="84"/>
      <c r="M77" s="45" t="s">
        <v>314</v>
      </c>
      <c r="N77" s="34"/>
      <c r="O77" s="34"/>
      <c r="P77" s="34">
        <v>-193.0</v>
      </c>
    </row>
    <row r="78" ht="15.75" customHeight="1">
      <c r="A78" s="1"/>
      <c r="B78" s="45" t="s">
        <v>226</v>
      </c>
      <c r="C78" s="34">
        <v>2443802.0</v>
      </c>
      <c r="D78" s="34">
        <v>2220935.0</v>
      </c>
      <c r="E78" s="84"/>
      <c r="G78" s="42"/>
      <c r="H78" s="84"/>
      <c r="I78" s="84"/>
      <c r="J78" s="84"/>
      <c r="K78" s="84"/>
      <c r="M78" s="85" t="s">
        <v>312</v>
      </c>
      <c r="N78" s="86">
        <v>174.0</v>
      </c>
      <c r="O78" s="86">
        <v>87.0</v>
      </c>
      <c r="P78" s="86">
        <v>-1249.0</v>
      </c>
    </row>
    <row r="79" ht="15.75" customHeight="1">
      <c r="A79" s="46" t="s">
        <v>6</v>
      </c>
      <c r="B79" s="71" t="s">
        <v>315</v>
      </c>
      <c r="C79" s="34">
        <v>2427445.0</v>
      </c>
      <c r="D79" s="34">
        <v>2141257.0</v>
      </c>
      <c r="E79" s="84"/>
      <c r="G79" s="42"/>
      <c r="H79" s="22"/>
      <c r="I79" s="22"/>
      <c r="J79" s="84"/>
      <c r="K79" s="22"/>
      <c r="M79" s="87" t="s">
        <v>316</v>
      </c>
      <c r="N79" s="89"/>
      <c r="O79" s="89"/>
      <c r="P79" s="88">
        <v>-1056.0</v>
      </c>
    </row>
    <row r="80" ht="15.75" customHeight="1">
      <c r="B80" s="45" t="s">
        <v>317</v>
      </c>
      <c r="C80" s="34">
        <v>234902.0</v>
      </c>
      <c r="D80" s="34">
        <v>318589.0</v>
      </c>
      <c r="E80" s="84"/>
      <c r="G80" s="42"/>
      <c r="H80" s="84"/>
      <c r="I80" s="84"/>
      <c r="J80" s="22"/>
      <c r="K80" s="22"/>
      <c r="M80" s="87" t="s">
        <v>318</v>
      </c>
      <c r="N80" s="88"/>
      <c r="O80" s="88"/>
      <c r="P80" s="88">
        <v>-193.0</v>
      </c>
    </row>
    <row r="81" ht="15.75" customHeight="1">
      <c r="B81" s="45" t="s">
        <v>319</v>
      </c>
      <c r="C81" s="34">
        <v>68153.0</v>
      </c>
      <c r="D81" s="34">
        <v>50165.0</v>
      </c>
      <c r="E81" s="84"/>
      <c r="G81" s="18"/>
      <c r="M81" s="18"/>
      <c r="N81" s="84"/>
      <c r="O81" s="84"/>
      <c r="P81" s="84"/>
    </row>
    <row r="82" ht="15.75" customHeight="1">
      <c r="B82" s="45" t="s">
        <v>320</v>
      </c>
      <c r="C82" s="34">
        <v>1822657.0</v>
      </c>
      <c r="D82" s="34">
        <v>1800050.0</v>
      </c>
      <c r="E82" s="84"/>
      <c r="G82" s="48"/>
      <c r="M82" s="48"/>
      <c r="N82" s="22"/>
      <c r="O82" s="22"/>
      <c r="P82" s="22"/>
    </row>
    <row r="83" ht="15.75" customHeight="1">
      <c r="B83" s="45" t="s">
        <v>321</v>
      </c>
      <c r="C83" s="34">
        <v>121342.0</v>
      </c>
      <c r="D83" s="34">
        <v>96808.0</v>
      </c>
      <c r="E83" s="84"/>
      <c r="G83" s="18"/>
      <c r="M83" s="42"/>
      <c r="N83" s="84"/>
      <c r="O83" s="84"/>
      <c r="P83" s="84"/>
    </row>
    <row r="84" ht="15.75" customHeight="1">
      <c r="A84" s="1"/>
      <c r="B84" s="45" t="s">
        <v>322</v>
      </c>
      <c r="C84" s="34">
        <v>972562.0</v>
      </c>
      <c r="D84" s="34">
        <v>1026238.0</v>
      </c>
      <c r="E84" s="84"/>
      <c r="G84" s="18"/>
      <c r="M84" s="42"/>
      <c r="N84" s="84"/>
      <c r="O84" s="84"/>
      <c r="P84" s="84"/>
    </row>
    <row r="85" ht="15.75" customHeight="1">
      <c r="A85" s="1"/>
      <c r="B85" s="45" t="s">
        <v>122</v>
      </c>
      <c r="C85" s="34">
        <v>112208.0</v>
      </c>
      <c r="D85" s="34">
        <v>93490.0</v>
      </c>
      <c r="E85" s="84"/>
      <c r="G85" s="48"/>
      <c r="M85" s="18"/>
    </row>
    <row r="86" ht="15.75" customHeight="1">
      <c r="B86" s="45" t="s">
        <v>323</v>
      </c>
      <c r="C86" s="34">
        <v>42071.0</v>
      </c>
      <c r="D86" s="34"/>
      <c r="E86" s="22"/>
      <c r="M86" s="18"/>
    </row>
    <row r="87" ht="15.75" customHeight="1">
      <c r="A87" s="46" t="s">
        <v>6</v>
      </c>
      <c r="B87" s="71" t="s">
        <v>324</v>
      </c>
      <c r="C87" s="34">
        <v>568524.0</v>
      </c>
      <c r="D87" s="34">
        <v>398220.0</v>
      </c>
      <c r="E87" s="84"/>
      <c r="M87" s="18"/>
    </row>
    <row r="88" ht="15.75" customHeight="1">
      <c r="B88" s="45" t="s">
        <v>325</v>
      </c>
      <c r="C88" s="34">
        <v>133039.0</v>
      </c>
      <c r="D88" s="34">
        <v>214127.0</v>
      </c>
      <c r="E88" s="84"/>
      <c r="M88" s="18"/>
    </row>
    <row r="89" ht="15.75" customHeight="1">
      <c r="B89" s="45" t="s">
        <v>326</v>
      </c>
      <c r="C89" s="34">
        <v>2796.0</v>
      </c>
      <c r="D89" s="34">
        <v>5893.0</v>
      </c>
      <c r="E89" s="84"/>
      <c r="M89" s="48"/>
    </row>
    <row r="90" ht="15.75" customHeight="1">
      <c r="B90" s="45" t="s">
        <v>327</v>
      </c>
      <c r="C90" s="34">
        <v>236405.0</v>
      </c>
      <c r="D90" s="34">
        <v>241923.0</v>
      </c>
      <c r="E90" s="84"/>
    </row>
    <row r="91" ht="15.75" customHeight="1">
      <c r="A91" s="46" t="s">
        <v>6</v>
      </c>
      <c r="B91" s="71" t="s">
        <v>228</v>
      </c>
      <c r="C91" s="34">
        <v>101479.0</v>
      </c>
      <c r="D91" s="34">
        <v>102853.0</v>
      </c>
      <c r="E91" s="84"/>
    </row>
    <row r="92" ht="15.75" customHeight="1">
      <c r="A92" s="46" t="s">
        <v>6</v>
      </c>
      <c r="B92" s="71" t="s">
        <v>328</v>
      </c>
      <c r="C92" s="34">
        <v>15773.0</v>
      </c>
      <c r="D92" s="34">
        <v>18331.0</v>
      </c>
      <c r="E92" s="84"/>
    </row>
    <row r="93" ht="15.75" customHeight="1">
      <c r="B93" s="45" t="s">
        <v>329</v>
      </c>
      <c r="C93" s="34">
        <v>207488.0</v>
      </c>
      <c r="D93" s="34">
        <v>216941.0</v>
      </c>
      <c r="E93" s="84"/>
    </row>
    <row r="94" ht="15.75" customHeight="1">
      <c r="B94" s="45" t="s">
        <v>125</v>
      </c>
      <c r="C94" s="34">
        <v>5643218.0</v>
      </c>
      <c r="D94" s="34">
        <v>5707923.0</v>
      </c>
      <c r="E94" s="84"/>
    </row>
    <row r="95" ht="15.75" customHeight="1">
      <c r="A95" s="46" t="s">
        <v>6</v>
      </c>
      <c r="B95" s="71" t="s">
        <v>330</v>
      </c>
      <c r="C95" s="34">
        <v>818317.0</v>
      </c>
      <c r="D95" s="34">
        <v>906758.0</v>
      </c>
      <c r="E95" s="84"/>
    </row>
    <row r="96" ht="15.75" customHeight="1">
      <c r="A96" s="46" t="s">
        <v>6</v>
      </c>
      <c r="B96" s="71" t="s">
        <v>331</v>
      </c>
      <c r="C96" s="34">
        <v>2513424.0</v>
      </c>
      <c r="D96" s="34">
        <v>2434534.0</v>
      </c>
      <c r="E96" s="84"/>
    </row>
    <row r="97" ht="15.75" customHeight="1">
      <c r="B97" s="45" t="s">
        <v>332</v>
      </c>
      <c r="C97" s="34">
        <v>11085.0</v>
      </c>
      <c r="D97" s="34">
        <v>19392.0</v>
      </c>
      <c r="E97" s="84"/>
    </row>
    <row r="98" ht="15.75" customHeight="1">
      <c r="B98" s="45" t="s">
        <v>333</v>
      </c>
      <c r="C98" s="34">
        <v>12016.0</v>
      </c>
      <c r="D98" s="34">
        <v>11189.0</v>
      </c>
      <c r="E98" s="84"/>
    </row>
    <row r="99" ht="15.75" customHeight="1">
      <c r="B99" s="45" t="s">
        <v>334</v>
      </c>
      <c r="C99" s="34">
        <v>573151.0</v>
      </c>
      <c r="D99" s="34">
        <v>570726.0</v>
      </c>
      <c r="E99" s="84"/>
    </row>
    <row r="100" ht="15.75" customHeight="1">
      <c r="B100" s="45" t="s">
        <v>335</v>
      </c>
      <c r="C100" s="34">
        <v>247104.0</v>
      </c>
      <c r="D100" s="34">
        <v>277852.0</v>
      </c>
      <c r="E100" s="84"/>
    </row>
    <row r="101" ht="15.75" customHeight="1">
      <c r="B101" s="45" t="s">
        <v>325</v>
      </c>
      <c r="C101" s="34">
        <v>16627.0</v>
      </c>
      <c r="D101" s="34">
        <v>30217.0</v>
      </c>
      <c r="E101" s="84"/>
    </row>
    <row r="102" ht="15.75" customHeight="1">
      <c r="B102" s="45" t="s">
        <v>326</v>
      </c>
      <c r="C102" s="34">
        <v>4173.0</v>
      </c>
      <c r="D102" s="34">
        <v>2457.0</v>
      </c>
      <c r="E102" s="84"/>
    </row>
    <row r="103" ht="15.75" customHeight="1">
      <c r="B103" s="45" t="s">
        <v>130</v>
      </c>
      <c r="C103" s="34">
        <v>494409.0</v>
      </c>
      <c r="D103" s="34">
        <v>510165.0</v>
      </c>
      <c r="E103" s="84"/>
    </row>
    <row r="104" ht="15.75" customHeight="1">
      <c r="B104" s="45" t="s">
        <v>327</v>
      </c>
      <c r="C104" s="34">
        <v>365578.0</v>
      </c>
      <c r="D104" s="34">
        <v>364830.0</v>
      </c>
      <c r="E104" s="84"/>
    </row>
    <row r="105" ht="15.75" customHeight="1">
      <c r="B105" s="45" t="s">
        <v>236</v>
      </c>
      <c r="C105" s="34">
        <v>288369.0</v>
      </c>
      <c r="D105" s="34">
        <v>302032.0</v>
      </c>
      <c r="E105" s="84"/>
    </row>
    <row r="106" ht="15.75" customHeight="1">
      <c r="B106" s="45" t="s">
        <v>336</v>
      </c>
      <c r="C106" s="34">
        <v>52713.0</v>
      </c>
      <c r="D106" s="34">
        <v>48234.0</v>
      </c>
      <c r="E106" s="22"/>
    </row>
    <row r="107" ht="15.75" customHeight="1">
      <c r="B107" s="45" t="s">
        <v>337</v>
      </c>
      <c r="C107" s="34">
        <v>246252.0</v>
      </c>
      <c r="D107" s="34">
        <v>229537.0</v>
      </c>
      <c r="E107" s="84"/>
    </row>
    <row r="108" ht="15.75" customHeight="1">
      <c r="B108" s="45" t="s">
        <v>131</v>
      </c>
      <c r="C108" s="34">
        <v>1.5153864E7</v>
      </c>
      <c r="D108" s="34">
        <v>1.4653743E7</v>
      </c>
      <c r="E108" s="84"/>
    </row>
    <row r="109" ht="15.75" customHeight="1">
      <c r="B109" s="45" t="s">
        <v>132</v>
      </c>
      <c r="C109" s="34"/>
      <c r="D109" s="34"/>
      <c r="E109" s="84"/>
    </row>
    <row r="110" ht="15.75" customHeight="1">
      <c r="B110" s="45" t="s">
        <v>338</v>
      </c>
      <c r="C110" s="34">
        <v>7603719.0</v>
      </c>
      <c r="D110" s="34">
        <v>7496562.0</v>
      </c>
      <c r="E110" s="84"/>
    </row>
    <row r="111" ht="15.75" customHeight="1">
      <c r="B111" s="45" t="s">
        <v>339</v>
      </c>
      <c r="C111" s="34">
        <v>3267327.0</v>
      </c>
      <c r="D111" s="34">
        <v>3267327.0</v>
      </c>
      <c r="E111" s="84"/>
    </row>
    <row r="112" ht="15.75" customHeight="1">
      <c r="B112" s="45" t="s">
        <v>340</v>
      </c>
      <c r="C112" s="34">
        <v>1441555.0</v>
      </c>
      <c r="D112" s="34">
        <v>1572095.0</v>
      </c>
      <c r="E112" s="84"/>
    </row>
    <row r="113" ht="15.75" customHeight="1">
      <c r="B113" s="45" t="s">
        <v>341</v>
      </c>
      <c r="C113" s="34">
        <v>45455.0</v>
      </c>
      <c r="D113" s="34">
        <v>46766.0</v>
      </c>
      <c r="E113" s="84"/>
    </row>
    <row r="114" ht="15.75" customHeight="1">
      <c r="B114" s="45" t="s">
        <v>342</v>
      </c>
      <c r="C114" s="34">
        <v>1300764.0</v>
      </c>
      <c r="D114" s="34">
        <v>1215926.0</v>
      </c>
      <c r="E114" s="84"/>
    </row>
    <row r="115" ht="15.75" customHeight="1">
      <c r="B115" s="45" t="s">
        <v>343</v>
      </c>
      <c r="C115" s="34">
        <v>1548618.0</v>
      </c>
      <c r="D115" s="34">
        <v>1394448.0</v>
      </c>
      <c r="E115" s="84"/>
    </row>
    <row r="116" ht="15.75" customHeight="1">
      <c r="B116" s="45" t="s">
        <v>137</v>
      </c>
      <c r="C116" s="34">
        <v>4139410.0</v>
      </c>
      <c r="D116" s="34">
        <v>4164530.0</v>
      </c>
      <c r="E116" s="84"/>
    </row>
    <row r="117" ht="15.75" customHeight="1">
      <c r="B117" s="45" t="s">
        <v>138</v>
      </c>
      <c r="C117" s="34">
        <v>1.1743129E7</v>
      </c>
      <c r="D117" s="34">
        <v>1.1661092E7</v>
      </c>
      <c r="E117" s="84"/>
    </row>
    <row r="118" ht="15.75" customHeight="1">
      <c r="B118" s="45" t="s">
        <v>344</v>
      </c>
      <c r="C118" s="34">
        <v>2.6896993E7</v>
      </c>
      <c r="D118" s="34">
        <v>2.6314835E7</v>
      </c>
      <c r="E118" s="22"/>
    </row>
    <row r="119" ht="15.75" customHeight="1">
      <c r="B119" s="18"/>
      <c r="C119" s="84"/>
      <c r="D119" s="84"/>
      <c r="E119" s="84"/>
    </row>
    <row r="120" ht="15.75" customHeight="1">
      <c r="B120" s="18"/>
      <c r="C120" s="84"/>
      <c r="D120" s="84"/>
      <c r="E120" s="84"/>
    </row>
    <row r="121" ht="15.75" customHeight="1">
      <c r="B121" s="48"/>
      <c r="C121" s="84"/>
      <c r="D121" s="84"/>
      <c r="E121" s="84"/>
    </row>
    <row r="122" ht="15.75" customHeight="1">
      <c r="B122" s="42"/>
      <c r="C122" s="84"/>
      <c r="D122" s="84"/>
      <c r="E122" s="84"/>
    </row>
    <row r="123" ht="15.75" customHeight="1">
      <c r="B123" s="42"/>
      <c r="C123" s="84"/>
      <c r="D123" s="84"/>
      <c r="E123" s="84"/>
    </row>
    <row r="124" ht="15.75" customHeight="1">
      <c r="B124" s="42"/>
      <c r="C124" s="84"/>
      <c r="D124" s="84"/>
      <c r="E124" s="84"/>
    </row>
    <row r="125" ht="15.75" customHeight="1">
      <c r="B125" s="42"/>
      <c r="C125" s="84"/>
      <c r="D125" s="84"/>
      <c r="E125" s="84"/>
    </row>
    <row r="126" ht="15.75" customHeight="1">
      <c r="B126" s="42"/>
      <c r="C126" s="84"/>
      <c r="D126" s="84"/>
      <c r="E126" s="84"/>
    </row>
    <row r="127" ht="15.75" customHeight="1">
      <c r="B127" s="18"/>
      <c r="C127" s="84"/>
      <c r="D127" s="84"/>
      <c r="E127" s="84"/>
    </row>
    <row r="128" ht="15.75" customHeight="1">
      <c r="B128" s="18"/>
    </row>
    <row r="129" ht="15.75" customHeight="1">
      <c r="B129" s="48"/>
    </row>
    <row r="130" ht="15.75" customHeight="1">
      <c r="B130" s="48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0:C30"/>
    <mergeCell ref="B31:C31"/>
    <mergeCell ref="B32:C32"/>
    <mergeCell ref="B33:C33"/>
    <mergeCell ref="G52:G53"/>
    <mergeCell ref="H52:I52"/>
    <mergeCell ref="J52:K52"/>
    <mergeCell ref="B21:C22"/>
    <mergeCell ref="D21:F21"/>
    <mergeCell ref="G21:G22"/>
    <mergeCell ref="B23:C23"/>
    <mergeCell ref="B24:C24"/>
    <mergeCell ref="B25:C25"/>
    <mergeCell ref="B26:B2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88"/>
    <col customWidth="1" min="3" max="3" width="15.38"/>
    <col customWidth="1" min="4" max="4" width="11.0"/>
    <col customWidth="1" min="5" max="5" width="22.5"/>
    <col customWidth="1" min="6" max="6" width="16.13"/>
    <col customWidth="1" min="7" max="26" width="11.0"/>
  </cols>
  <sheetData>
    <row r="1" ht="15.75" customHeight="1">
      <c r="A1" s="1" t="s">
        <v>345</v>
      </c>
    </row>
    <row r="2" ht="15.75" customHeight="1">
      <c r="A2" s="2">
        <v>45777.0</v>
      </c>
    </row>
    <row r="3" ht="15.75" customHeight="1"/>
    <row r="4" ht="15.75" customHeight="1">
      <c r="G4" s="3" t="s">
        <v>1</v>
      </c>
      <c r="I4" s="1" t="s">
        <v>2</v>
      </c>
    </row>
    <row r="5" ht="15.75" customHeight="1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I5" s="7" t="s">
        <v>9</v>
      </c>
      <c r="J5" s="8"/>
      <c r="K5" s="8"/>
      <c r="L5" s="8"/>
      <c r="M5" s="9"/>
    </row>
    <row r="6" ht="15.75" customHeight="1">
      <c r="B6" s="90">
        <v>32100.0</v>
      </c>
      <c r="C6" s="11">
        <f>D24</f>
        <v>186993261</v>
      </c>
      <c r="D6" s="12">
        <f>B6*C6/10^6</f>
        <v>6002483.678</v>
      </c>
      <c r="E6" s="12">
        <f>SUMIF(A:A,E5,E:E)/10^3</f>
        <v>672822.289</v>
      </c>
      <c r="F6" s="12">
        <f>(H41+N40-J41)/10^6</f>
        <v>232034.5883</v>
      </c>
      <c r="G6" s="13">
        <f>IF(F6&lt;=200, 0.99, IF(F6&lt;=20000, 0.209, IF(F6&lt;=300000, 0.231, 0.264)))</f>
        <v>0.231</v>
      </c>
      <c r="I6" s="14"/>
      <c r="J6" s="15"/>
      <c r="K6" s="15"/>
      <c r="L6" s="15"/>
      <c r="M6" s="16"/>
    </row>
    <row r="7" ht="15.75" customHeight="1"/>
    <row r="8" ht="15.75" customHeight="1"/>
    <row r="9" ht="15.75" customHeight="1">
      <c r="B9" s="17" t="s">
        <v>10</v>
      </c>
    </row>
    <row r="10" ht="15.75" customHeight="1">
      <c r="B10" s="19"/>
    </row>
    <row r="11" ht="15.75" customHeight="1">
      <c r="B11" s="19" t="s">
        <v>11</v>
      </c>
    </row>
    <row r="12" ht="15.75" customHeight="1">
      <c r="B12" s="20" t="s">
        <v>12</v>
      </c>
      <c r="C12" s="91">
        <v>45657.0</v>
      </c>
      <c r="D12" s="20" t="s">
        <v>14</v>
      </c>
      <c r="E12" s="22" t="s">
        <v>154</v>
      </c>
    </row>
    <row r="13" ht="15.75" customHeight="1">
      <c r="B13" s="23" t="s">
        <v>16</v>
      </c>
      <c r="C13" s="24"/>
      <c r="D13" s="25" t="s">
        <v>17</v>
      </c>
      <c r="E13" s="26"/>
      <c r="F13" s="27"/>
      <c r="G13" s="28" t="s">
        <v>18</v>
      </c>
    </row>
    <row r="14" ht="15.75" customHeight="1">
      <c r="B14" s="29"/>
      <c r="C14" s="30"/>
      <c r="D14" s="31" t="s">
        <v>19</v>
      </c>
      <c r="E14" s="31" t="s">
        <v>346</v>
      </c>
      <c r="F14" s="31" t="s">
        <v>21</v>
      </c>
      <c r="G14" s="32"/>
    </row>
    <row r="15" ht="15.75" customHeight="1">
      <c r="B15" s="33" t="s">
        <v>22</v>
      </c>
      <c r="C15" s="27"/>
      <c r="D15" s="34">
        <v>5.0E8</v>
      </c>
      <c r="E15" s="35" t="s">
        <v>23</v>
      </c>
      <c r="F15" s="34">
        <v>5.0E8</v>
      </c>
      <c r="G15" s="37" t="s">
        <v>23</v>
      </c>
    </row>
    <row r="16" ht="15.75" customHeight="1">
      <c r="B16" s="33" t="s">
        <v>25</v>
      </c>
      <c r="C16" s="27"/>
      <c r="D16" s="34">
        <v>1.88919389E8</v>
      </c>
      <c r="E16" s="35" t="s">
        <v>23</v>
      </c>
      <c r="F16" s="34">
        <v>1.88919389E8</v>
      </c>
      <c r="G16" s="37" t="s">
        <v>23</v>
      </c>
    </row>
    <row r="17" ht="15.75" customHeight="1">
      <c r="B17" s="33" t="s">
        <v>26</v>
      </c>
      <c r="C17" s="27"/>
      <c r="D17" s="34" t="s">
        <v>23</v>
      </c>
      <c r="E17" s="35" t="s">
        <v>23</v>
      </c>
      <c r="F17" s="34" t="s">
        <v>23</v>
      </c>
      <c r="G17" s="37" t="s">
        <v>23</v>
      </c>
    </row>
    <row r="18" ht="15.75" customHeight="1">
      <c r="B18" s="38"/>
      <c r="C18" s="39" t="s">
        <v>27</v>
      </c>
      <c r="D18" s="34" t="s">
        <v>23</v>
      </c>
      <c r="E18" s="35" t="s">
        <v>23</v>
      </c>
      <c r="F18" s="34" t="s">
        <v>23</v>
      </c>
      <c r="G18" s="37" t="s">
        <v>23</v>
      </c>
    </row>
    <row r="19" ht="15.75" customHeight="1">
      <c r="B19" s="40"/>
      <c r="C19" s="39" t="s">
        <v>28</v>
      </c>
      <c r="D19" s="35" t="s">
        <v>23</v>
      </c>
      <c r="E19" s="35" t="s">
        <v>23</v>
      </c>
      <c r="F19" s="35" t="s">
        <v>23</v>
      </c>
      <c r="G19" s="37" t="s">
        <v>23</v>
      </c>
    </row>
    <row r="20" ht="15.75" customHeight="1">
      <c r="B20" s="40"/>
      <c r="C20" s="39" t="s">
        <v>29</v>
      </c>
      <c r="D20" s="35" t="s">
        <v>23</v>
      </c>
      <c r="E20" s="35" t="s">
        <v>23</v>
      </c>
      <c r="F20" s="35" t="s">
        <v>23</v>
      </c>
      <c r="G20" s="37" t="s">
        <v>23</v>
      </c>
    </row>
    <row r="21" ht="15.75" customHeight="1">
      <c r="B21" s="32"/>
      <c r="C21" s="39" t="s">
        <v>30</v>
      </c>
      <c r="D21" s="35" t="s">
        <v>23</v>
      </c>
      <c r="E21" s="35" t="s">
        <v>23</v>
      </c>
      <c r="F21" s="35" t="s">
        <v>23</v>
      </c>
      <c r="G21" s="37" t="s">
        <v>23</v>
      </c>
    </row>
    <row r="22" ht="15.75" customHeight="1">
      <c r="B22" s="33" t="s">
        <v>31</v>
      </c>
      <c r="C22" s="27"/>
      <c r="D22" s="34">
        <v>1.88919389E8</v>
      </c>
      <c r="E22" s="35" t="s">
        <v>23</v>
      </c>
      <c r="F22" s="34">
        <v>1.88919389E8</v>
      </c>
      <c r="G22" s="37" t="s">
        <v>23</v>
      </c>
    </row>
    <row r="23" ht="15.75" customHeight="1">
      <c r="B23" s="33" t="s">
        <v>32</v>
      </c>
      <c r="C23" s="27"/>
      <c r="D23" s="34">
        <v>1926128.0</v>
      </c>
      <c r="E23" s="35" t="s">
        <v>23</v>
      </c>
      <c r="F23" s="34">
        <v>1926128.0</v>
      </c>
      <c r="G23" s="37" t="s">
        <v>23</v>
      </c>
    </row>
    <row r="24" ht="15.75" customHeight="1">
      <c r="B24" s="33" t="s">
        <v>33</v>
      </c>
      <c r="C24" s="27"/>
      <c r="D24" s="34">
        <v>1.86993261E8</v>
      </c>
      <c r="E24" s="35" t="s">
        <v>23</v>
      </c>
      <c r="F24" s="34">
        <v>1.86993261E8</v>
      </c>
      <c r="G24" s="37" t="s">
        <v>23</v>
      </c>
    </row>
    <row r="25" ht="15.75" customHeight="1">
      <c r="B25" s="33" t="s">
        <v>34</v>
      </c>
      <c r="C25" s="27"/>
      <c r="D25" s="35">
        <v>1.02</v>
      </c>
      <c r="E25" s="35" t="s">
        <v>23</v>
      </c>
      <c r="F25" s="35">
        <v>1.02</v>
      </c>
      <c r="G25" s="37" t="s">
        <v>23</v>
      </c>
    </row>
    <row r="26" ht="15.75" customHeight="1">
      <c r="B26" s="20"/>
    </row>
    <row r="27" ht="15.75" customHeight="1"/>
    <row r="28" ht="15.75" customHeight="1"/>
    <row r="29" ht="15.75" customHeight="1"/>
    <row r="30" ht="15.75" customHeight="1">
      <c r="B30" s="42" t="s">
        <v>35</v>
      </c>
      <c r="G30" s="42" t="s">
        <v>36</v>
      </c>
      <c r="M30" s="43" t="s">
        <v>38</v>
      </c>
    </row>
    <row r="31" ht="15.75" customHeight="1">
      <c r="B31" s="43" t="s">
        <v>37</v>
      </c>
      <c r="G31" s="43" t="s">
        <v>38</v>
      </c>
      <c r="M31" s="44" t="s">
        <v>347</v>
      </c>
    </row>
    <row r="32" ht="15.75" customHeight="1">
      <c r="B32" s="44" t="s">
        <v>348</v>
      </c>
      <c r="G32" s="44" t="s">
        <v>349</v>
      </c>
      <c r="M32" s="44" t="s">
        <v>350</v>
      </c>
    </row>
    <row r="33" ht="15.75" customHeight="1">
      <c r="B33" s="44" t="s">
        <v>351</v>
      </c>
      <c r="G33" s="44" t="s">
        <v>352</v>
      </c>
      <c r="M33" s="44" t="s">
        <v>353</v>
      </c>
    </row>
    <row r="34" ht="15.75" customHeight="1">
      <c r="B34" s="22" t="s">
        <v>155</v>
      </c>
      <c r="G34" s="22" t="s">
        <v>155</v>
      </c>
      <c r="M34" s="22" t="s">
        <v>155</v>
      </c>
    </row>
    <row r="35" ht="15.75" customHeight="1">
      <c r="B35" s="31"/>
      <c r="C35" s="31" t="s">
        <v>354</v>
      </c>
      <c r="D35" s="31" t="s">
        <v>355</v>
      </c>
      <c r="G35" s="28"/>
      <c r="H35" s="25" t="s">
        <v>50</v>
      </c>
      <c r="I35" s="27"/>
      <c r="J35" s="25" t="s">
        <v>356</v>
      </c>
      <c r="K35" s="27"/>
      <c r="M35" s="31"/>
      <c r="N35" s="31" t="s">
        <v>55</v>
      </c>
      <c r="O35" s="31" t="s">
        <v>56</v>
      </c>
      <c r="P35" s="31" t="s">
        <v>357</v>
      </c>
    </row>
    <row r="36" ht="15.75" customHeight="1">
      <c r="B36" s="45" t="s">
        <v>51</v>
      </c>
      <c r="C36" s="35"/>
      <c r="D36" s="35"/>
      <c r="G36" s="32"/>
      <c r="H36" s="31" t="s">
        <v>52</v>
      </c>
      <c r="I36" s="31" t="s">
        <v>53</v>
      </c>
      <c r="J36" s="31" t="s">
        <v>52</v>
      </c>
      <c r="K36" s="31" t="s">
        <v>53</v>
      </c>
      <c r="M36" s="39" t="s">
        <v>276</v>
      </c>
      <c r="N36" s="34">
        <v>2.803686058274E12</v>
      </c>
      <c r="O36" s="34">
        <v>2.452494865652E12</v>
      </c>
      <c r="P36" s="34">
        <v>2.187382784077E12</v>
      </c>
    </row>
    <row r="37" ht="15.75" customHeight="1">
      <c r="B37" s="45" t="s">
        <v>57</v>
      </c>
      <c r="C37" s="34">
        <v>2.418286851683E12</v>
      </c>
      <c r="D37" s="34">
        <v>2.286147317733E12</v>
      </c>
      <c r="G37" s="45" t="s">
        <v>276</v>
      </c>
      <c r="H37" s="34">
        <v>6.90100705524E11</v>
      </c>
      <c r="I37" s="34">
        <v>6.90100705524E11</v>
      </c>
      <c r="J37" s="34">
        <v>5.44171697458E11</v>
      </c>
      <c r="K37" s="34">
        <v>5.44171697458E11</v>
      </c>
      <c r="M37" s="39" t="s">
        <v>278</v>
      </c>
      <c r="N37" s="34">
        <v>2.387893541859E12</v>
      </c>
      <c r="O37" s="34">
        <v>2.148350487679E12</v>
      </c>
      <c r="P37" s="34">
        <v>1.932111383713E12</v>
      </c>
    </row>
    <row r="38" ht="15.75" customHeight="1">
      <c r="B38" s="45" t="s">
        <v>256</v>
      </c>
      <c r="C38" s="34">
        <v>2.40375736929E11</v>
      </c>
      <c r="D38" s="34">
        <v>1.9984273864E11</v>
      </c>
      <c r="G38" s="45" t="s">
        <v>278</v>
      </c>
      <c r="H38" s="34">
        <v>5.78635666718E11</v>
      </c>
      <c r="I38" s="34">
        <v>5.78635666718E11</v>
      </c>
      <c r="J38" s="34">
        <v>4.58017757393E11</v>
      </c>
      <c r="K38" s="34">
        <v>4.58017757393E11</v>
      </c>
      <c r="M38" s="39" t="s">
        <v>62</v>
      </c>
      <c r="N38" s="34">
        <v>4.15792516415E11</v>
      </c>
      <c r="O38" s="34">
        <v>3.04144377973E11</v>
      </c>
      <c r="P38" s="34">
        <v>2.55271400364E11</v>
      </c>
    </row>
    <row r="39" ht="15.75" customHeight="1">
      <c r="B39" s="45" t="s">
        <v>358</v>
      </c>
      <c r="C39" s="34">
        <v>2.51595804206E11</v>
      </c>
      <c r="D39" s="34">
        <v>3.09758809799E11</v>
      </c>
      <c r="G39" s="45" t="s">
        <v>62</v>
      </c>
      <c r="H39" s="34">
        <v>1.11465038806E11</v>
      </c>
      <c r="I39" s="34">
        <v>1.11465038806E11</v>
      </c>
      <c r="J39" s="34">
        <v>8.6153940065E10</v>
      </c>
      <c r="K39" s="34">
        <v>8.6153940065E10</v>
      </c>
      <c r="M39" s="39" t="s">
        <v>281</v>
      </c>
      <c r="N39" s="34">
        <v>1.96447218733E11</v>
      </c>
      <c r="O39" s="34">
        <v>1.81569236969E11</v>
      </c>
      <c r="P39" s="34">
        <v>1.92967772698E11</v>
      </c>
    </row>
    <row r="40" ht="15.75" customHeight="1">
      <c r="B40" s="45" t="s">
        <v>359</v>
      </c>
      <c r="C40" s="34">
        <v>1.07170965006E11</v>
      </c>
      <c r="D40" s="34">
        <v>1.24138313927E11</v>
      </c>
      <c r="G40" s="45" t="s">
        <v>281</v>
      </c>
      <c r="H40" s="34">
        <v>5.3300686503E10</v>
      </c>
      <c r="I40" s="34">
        <v>5.3300686503E10</v>
      </c>
      <c r="J40" s="34">
        <v>4.0678878429E10</v>
      </c>
      <c r="K40" s="34">
        <v>4.0678878429E10</v>
      </c>
      <c r="M40" s="47" t="s">
        <v>360</v>
      </c>
      <c r="N40" s="41">
        <v>2.19345297682E11</v>
      </c>
      <c r="O40" s="34">
        <v>1.22575141004E11</v>
      </c>
      <c r="P40" s="34">
        <v>6.2303627666E10</v>
      </c>
    </row>
    <row r="41" ht="15.75" customHeight="1">
      <c r="B41" s="45" t="s">
        <v>286</v>
      </c>
      <c r="C41" s="34">
        <v>1.113491159898E12</v>
      </c>
      <c r="D41" s="34">
        <v>1.025685101781E12</v>
      </c>
      <c r="G41" s="71" t="s">
        <v>360</v>
      </c>
      <c r="H41" s="41">
        <v>5.8164352303E10</v>
      </c>
      <c r="I41" s="41">
        <v>5.8164352303E10</v>
      </c>
      <c r="J41" s="41">
        <v>4.5475061636E10</v>
      </c>
      <c r="K41" s="41">
        <v>4.5475061636E10</v>
      </c>
      <c r="M41" s="39" t="s">
        <v>361</v>
      </c>
      <c r="N41" s="34">
        <v>4.7118914858E11</v>
      </c>
      <c r="O41" s="34">
        <v>3.81777493578E11</v>
      </c>
      <c r="P41" s="34">
        <v>8.08082209E9</v>
      </c>
    </row>
    <row r="42" ht="15.75" customHeight="1">
      <c r="B42" s="45" t="s">
        <v>362</v>
      </c>
      <c r="C42" s="34">
        <v>7.05653185644E11</v>
      </c>
      <c r="D42" s="34">
        <v>6.10096270571E11</v>
      </c>
      <c r="G42" s="45" t="s">
        <v>361</v>
      </c>
      <c r="H42" s="34">
        <v>3.9556431954E10</v>
      </c>
      <c r="I42" s="34">
        <v>3.9556431954E10</v>
      </c>
      <c r="J42" s="34">
        <v>4.3736584704E10</v>
      </c>
      <c r="K42" s="34">
        <v>4.3736584704E10</v>
      </c>
      <c r="M42" s="39" t="s">
        <v>363</v>
      </c>
      <c r="N42" s="34">
        <v>1.05181510953E11</v>
      </c>
      <c r="O42" s="34">
        <v>4.4361931795E10</v>
      </c>
      <c r="P42" s="34">
        <v>8.4898552636E10</v>
      </c>
    </row>
    <row r="43" ht="15.75" customHeight="1">
      <c r="B43" s="45" t="s">
        <v>364</v>
      </c>
      <c r="C43" s="34">
        <v>0.0</v>
      </c>
      <c r="D43" s="34">
        <v>1.6626083015E10</v>
      </c>
      <c r="G43" s="45" t="s">
        <v>363</v>
      </c>
      <c r="H43" s="34">
        <v>6.2821422844E10</v>
      </c>
      <c r="I43" s="34">
        <v>6.2821422844E10</v>
      </c>
      <c r="J43" s="34">
        <v>1.166000265E9</v>
      </c>
      <c r="K43" s="34">
        <v>1.166000265E9</v>
      </c>
      <c r="M43" s="39" t="s">
        <v>287</v>
      </c>
      <c r="N43" s="34">
        <v>4.8063606585E10</v>
      </c>
      <c r="O43" s="34">
        <v>3.1524196161E10</v>
      </c>
      <c r="P43" s="34">
        <v>3.505139004E10</v>
      </c>
    </row>
    <row r="44" ht="15.75" customHeight="1">
      <c r="B44" s="45" t="s">
        <v>75</v>
      </c>
      <c r="C44" s="34">
        <v>4.79432595178E12</v>
      </c>
      <c r="D44" s="34">
        <v>3.437862797985E12</v>
      </c>
      <c r="G44" s="45" t="s">
        <v>287</v>
      </c>
      <c r="H44" s="34">
        <v>1.6395091333E10</v>
      </c>
      <c r="I44" s="34">
        <v>1.6395091333E10</v>
      </c>
      <c r="J44" s="34">
        <v>8.636267088E9</v>
      </c>
      <c r="K44" s="34">
        <v>8.636267088E9</v>
      </c>
      <c r="M44" s="39" t="s">
        <v>365</v>
      </c>
      <c r="N44" s="34">
        <v>3.9407264646E10</v>
      </c>
      <c r="O44" s="34">
        <v>1.7408047107E10</v>
      </c>
      <c r="P44" s="34">
        <v>1.1985829095E10</v>
      </c>
    </row>
    <row r="45" ht="15.75" customHeight="1">
      <c r="B45" s="45" t="s">
        <v>366</v>
      </c>
      <c r="C45" s="34">
        <v>3.95796314696E11</v>
      </c>
      <c r="D45" s="34">
        <v>3.66532174827E11</v>
      </c>
      <c r="G45" s="45" t="s">
        <v>365</v>
      </c>
      <c r="H45" s="34">
        <v>1.0108289449E10</v>
      </c>
      <c r="I45" s="34">
        <v>1.0108289449E10</v>
      </c>
      <c r="J45" s="34">
        <v>5.10631936E9</v>
      </c>
      <c r="K45" s="34">
        <v>5.10631936E9</v>
      </c>
      <c r="M45" s="39" t="s">
        <v>367</v>
      </c>
      <c r="N45" s="34">
        <v>-1.2596342874E10</v>
      </c>
      <c r="O45" s="34">
        <v>-3.0247728517E10</v>
      </c>
      <c r="P45" s="34">
        <v>-2.6708314516E10</v>
      </c>
    </row>
    <row r="46" ht="15.75" customHeight="1">
      <c r="B46" s="45" t="s">
        <v>368</v>
      </c>
      <c r="C46" s="34">
        <v>2.770648647001E12</v>
      </c>
      <c r="D46" s="34">
        <v>1.438036682961E12</v>
      </c>
      <c r="G46" s="45" t="s">
        <v>367</v>
      </c>
      <c r="H46" s="34">
        <v>-1.914582266E9</v>
      </c>
      <c r="I46" s="34">
        <v>-1.914582266E9</v>
      </c>
      <c r="J46" s="34">
        <v>-2.2271994223E10</v>
      </c>
      <c r="K46" s="34">
        <v>-2.2271994223E10</v>
      </c>
      <c r="M46" s="39" t="s">
        <v>78</v>
      </c>
      <c r="N46" s="34">
        <v>5.81412934374E11</v>
      </c>
      <c r="O46" s="34">
        <v>4.43859123324E11</v>
      </c>
      <c r="P46" s="34">
        <v>-1.8156856451E10</v>
      </c>
    </row>
    <row r="47" ht="15.75" customHeight="1">
      <c r="B47" s="45" t="s">
        <v>369</v>
      </c>
      <c r="C47" s="34">
        <v>7.4398385546E10</v>
      </c>
      <c r="D47" s="34">
        <v>7.4055892315E10</v>
      </c>
      <c r="G47" s="45" t="s">
        <v>78</v>
      </c>
      <c r="H47" s="34">
        <v>3.9271581031E10</v>
      </c>
      <c r="I47" s="34">
        <v>3.9271581031E10</v>
      </c>
      <c r="J47" s="34">
        <v>6.930359958E10</v>
      </c>
      <c r="K47" s="34">
        <v>6.930359958E10</v>
      </c>
      <c r="M47" s="39" t="s">
        <v>370</v>
      </c>
      <c r="N47" s="34">
        <v>1.04258545307E11</v>
      </c>
      <c r="O47" s="34">
        <v>5.7411211791E10</v>
      </c>
      <c r="P47" s="34">
        <v>2.3735116786E10</v>
      </c>
    </row>
    <row r="48" ht="15.75" customHeight="1">
      <c r="B48" s="45" t="s">
        <v>371</v>
      </c>
      <c r="C48" s="34">
        <v>1.9301342014E10</v>
      </c>
      <c r="D48" s="34">
        <v>2.4551532882E10</v>
      </c>
      <c r="G48" s="45" t="s">
        <v>370</v>
      </c>
      <c r="H48" s="34">
        <v>5.83864162E9</v>
      </c>
      <c r="I48" s="34">
        <v>5.83864162E9</v>
      </c>
      <c r="J48" s="34">
        <v>9.122826801E9</v>
      </c>
      <c r="K48" s="34">
        <v>9.122826801E9</v>
      </c>
      <c r="M48" s="39" t="s">
        <v>303</v>
      </c>
      <c r="N48" s="34">
        <v>4.77154389067E11</v>
      </c>
      <c r="O48" s="34">
        <v>3.86447911533E11</v>
      </c>
      <c r="P48" s="34">
        <v>-4.1891973237E10</v>
      </c>
    </row>
    <row r="49" ht="15.75" customHeight="1">
      <c r="B49" s="45" t="s">
        <v>297</v>
      </c>
      <c r="C49" s="34">
        <v>6.07018912322E11</v>
      </c>
      <c r="D49" s="34">
        <v>5.69952770732E11</v>
      </c>
      <c r="G49" s="45" t="s">
        <v>303</v>
      </c>
      <c r="H49" s="34">
        <v>3.3432939411E10</v>
      </c>
      <c r="I49" s="34">
        <v>3.3432939411E10</v>
      </c>
      <c r="J49" s="34">
        <v>6.0180772779E10</v>
      </c>
      <c r="K49" s="34">
        <v>6.0180772779E10</v>
      </c>
      <c r="M49" s="39" t="s">
        <v>305</v>
      </c>
      <c r="N49" s="34">
        <v>-3.1775545943E10</v>
      </c>
      <c r="O49" s="34">
        <v>-4.3364622594E10</v>
      </c>
      <c r="P49" s="34">
        <v>-3.886822048E10</v>
      </c>
    </row>
    <row r="50" ht="15.75" customHeight="1">
      <c r="B50" s="45" t="s">
        <v>372</v>
      </c>
      <c r="C50" s="34">
        <v>1.4670580998E11</v>
      </c>
      <c r="D50" s="34">
        <v>1.54215135942E11</v>
      </c>
      <c r="G50" s="45" t="s">
        <v>305</v>
      </c>
      <c r="H50" s="34">
        <v>7.536906022E9</v>
      </c>
      <c r="I50" s="34">
        <v>7.536906022E9</v>
      </c>
      <c r="J50" s="34">
        <v>-9.857509426E9</v>
      </c>
      <c r="K50" s="34">
        <v>-9.857509426E9</v>
      </c>
      <c r="M50" s="39" t="s">
        <v>373</v>
      </c>
      <c r="N50" s="34">
        <v>4.45378843124E11</v>
      </c>
      <c r="O50" s="34">
        <v>3.43083288939E11</v>
      </c>
      <c r="P50" s="34">
        <v>-8.0760193717E10</v>
      </c>
    </row>
    <row r="51" ht="15.75" customHeight="1">
      <c r="B51" s="45" t="s">
        <v>299</v>
      </c>
      <c r="C51" s="34">
        <v>7.59170725628E11</v>
      </c>
      <c r="D51" s="34">
        <v>7.62189505792E11</v>
      </c>
      <c r="G51" s="45" t="s">
        <v>373</v>
      </c>
      <c r="H51" s="34">
        <v>4.0969845433E10</v>
      </c>
      <c r="I51" s="34">
        <v>4.0969845433E10</v>
      </c>
      <c r="J51" s="34">
        <v>5.0323263353E10</v>
      </c>
      <c r="K51" s="34">
        <v>5.0323263353E10</v>
      </c>
      <c r="M51" s="39" t="s">
        <v>374</v>
      </c>
      <c r="N51" s="34"/>
      <c r="O51" s="34"/>
      <c r="P51" s="34"/>
    </row>
    <row r="52" ht="15.75" customHeight="1">
      <c r="B52" s="45" t="s">
        <v>311</v>
      </c>
      <c r="C52" s="34">
        <v>7.208256173E9</v>
      </c>
      <c r="D52" s="34">
        <v>6.739693964E9</v>
      </c>
      <c r="G52" s="45" t="s">
        <v>374</v>
      </c>
      <c r="H52" s="34"/>
      <c r="I52" s="34"/>
      <c r="J52" s="34"/>
      <c r="K52" s="34"/>
      <c r="M52" s="39" t="s">
        <v>111</v>
      </c>
      <c r="N52" s="34">
        <v>4.54300056693E11</v>
      </c>
      <c r="O52" s="34">
        <v>3.49221289086E11</v>
      </c>
      <c r="P52" s="34">
        <v>-7.6555797899E10</v>
      </c>
    </row>
    <row r="53" ht="15.75" customHeight="1">
      <c r="B53" s="45" t="s">
        <v>101</v>
      </c>
      <c r="C53" s="34">
        <v>1.407755842E10</v>
      </c>
      <c r="D53" s="34">
        <v>4.158940857E10</v>
      </c>
      <c r="G53" s="45" t="s">
        <v>111</v>
      </c>
      <c r="H53" s="34">
        <v>3.7834899054E10</v>
      </c>
      <c r="I53" s="34">
        <v>3.7834899054E10</v>
      </c>
      <c r="J53" s="34">
        <v>5.1805059317E10</v>
      </c>
      <c r="K53" s="34">
        <v>5.1805059317E10</v>
      </c>
      <c r="M53" s="39" t="s">
        <v>375</v>
      </c>
      <c r="N53" s="34">
        <v>-8.921213569E9</v>
      </c>
      <c r="O53" s="34">
        <v>-6.138000147E9</v>
      </c>
      <c r="P53" s="34">
        <v>-4.204395818E9</v>
      </c>
    </row>
    <row r="54" ht="15.75" customHeight="1">
      <c r="B54" s="45" t="s">
        <v>103</v>
      </c>
      <c r="C54" s="34">
        <v>7.212612803463E12</v>
      </c>
      <c r="D54" s="34">
        <v>5.724010115718E12</v>
      </c>
      <c r="G54" s="45" t="s">
        <v>375</v>
      </c>
      <c r="H54" s="34">
        <v>3.134946379E9</v>
      </c>
      <c r="I54" s="34">
        <v>3.134946379E9</v>
      </c>
      <c r="J54" s="34">
        <v>-1.481795964E9</v>
      </c>
      <c r="K54" s="34">
        <v>-1.481795964E9</v>
      </c>
      <c r="M54" s="39" t="s">
        <v>85</v>
      </c>
      <c r="N54" s="34">
        <v>-3.4573519586E10</v>
      </c>
      <c r="O54" s="34">
        <v>-1.76400561422E11</v>
      </c>
      <c r="P54" s="34">
        <v>-1.16331712059E11</v>
      </c>
    </row>
    <row r="55" ht="15.75" customHeight="1">
      <c r="B55" s="45" t="s">
        <v>106</v>
      </c>
      <c r="C55" s="35"/>
      <c r="D55" s="34"/>
      <c r="G55" s="45" t="s">
        <v>85</v>
      </c>
      <c r="H55" s="34">
        <v>8.92581403766E11</v>
      </c>
      <c r="I55" s="34">
        <v>8.92581403766E11</v>
      </c>
      <c r="J55" s="34">
        <v>1.3397657382E10</v>
      </c>
      <c r="K55" s="34">
        <v>1.3397657382E10</v>
      </c>
      <c r="M55" s="39" t="s">
        <v>91</v>
      </c>
      <c r="N55" s="34">
        <v>7.5988073348E10</v>
      </c>
      <c r="O55" s="34">
        <v>8.50802871E9</v>
      </c>
      <c r="P55" s="34">
        <v>-1.96325513E8</v>
      </c>
    </row>
    <row r="56" ht="15.75" customHeight="1">
      <c r="B56" s="45" t="s">
        <v>109</v>
      </c>
      <c r="C56" s="34">
        <v>2.897194696019E12</v>
      </c>
      <c r="D56" s="34">
        <v>2.677051475212E12</v>
      </c>
      <c r="G56" s="45" t="s">
        <v>91</v>
      </c>
      <c r="H56" s="34">
        <v>5.67089897E9</v>
      </c>
      <c r="I56" s="34">
        <v>5.67089897E9</v>
      </c>
      <c r="J56" s="34">
        <v>2.3365872487E10</v>
      </c>
      <c r="K56" s="34">
        <v>2.3365872487E10</v>
      </c>
      <c r="M56" s="39" t="s">
        <v>94</v>
      </c>
      <c r="N56" s="34">
        <v>6.1468177044E10</v>
      </c>
      <c r="O56" s="34">
        <v>2.2258528105E10</v>
      </c>
      <c r="P56" s="34">
        <v>-1.004443716E9</v>
      </c>
    </row>
    <row r="57" ht="15.75" customHeight="1">
      <c r="B57" s="45" t="s">
        <v>225</v>
      </c>
      <c r="C57" s="34">
        <v>3.45784374156E11</v>
      </c>
      <c r="D57" s="34">
        <v>2.50001338211E11</v>
      </c>
      <c r="G57" s="45" t="s">
        <v>94</v>
      </c>
      <c r="H57" s="34">
        <v>5.78379779E9</v>
      </c>
      <c r="I57" s="34">
        <v>5.78379779E9</v>
      </c>
      <c r="J57" s="34">
        <v>2.0345106286E10</v>
      </c>
      <c r="K57" s="34">
        <v>2.0345106286E10</v>
      </c>
      <c r="M57" s="39" t="s">
        <v>376</v>
      </c>
      <c r="N57" s="34">
        <v>1.4519896304E10</v>
      </c>
      <c r="O57" s="34">
        <v>-1.3750499395E10</v>
      </c>
      <c r="P57" s="34">
        <v>8.08118203E8</v>
      </c>
    </row>
    <row r="58" ht="15.75" customHeight="1">
      <c r="A58" s="1"/>
      <c r="B58" s="45" t="s">
        <v>377</v>
      </c>
      <c r="C58" s="34">
        <v>2.44634769303E11</v>
      </c>
      <c r="D58" s="34">
        <v>7.9955187062E10</v>
      </c>
      <c r="G58" s="45" t="s">
        <v>376</v>
      </c>
      <c r="H58" s="34">
        <v>-1.1289882E8</v>
      </c>
      <c r="I58" s="34">
        <v>-1.1289882E8</v>
      </c>
      <c r="J58" s="34">
        <v>3.020766201E9</v>
      </c>
      <c r="K58" s="34">
        <v>3.020766201E9</v>
      </c>
      <c r="M58" s="39" t="s">
        <v>87</v>
      </c>
      <c r="N58" s="34">
        <v>-1.10561592934E11</v>
      </c>
      <c r="O58" s="34">
        <v>-1.84908590132E11</v>
      </c>
      <c r="P58" s="34">
        <v>-1.16135386546E11</v>
      </c>
    </row>
    <row r="59" ht="15.75" customHeight="1">
      <c r="B59" s="45" t="s">
        <v>378</v>
      </c>
      <c r="C59" s="34">
        <v>1.24861044912E11</v>
      </c>
      <c r="D59" s="34">
        <v>1.955315693E11</v>
      </c>
      <c r="G59" s="45" t="s">
        <v>87</v>
      </c>
      <c r="H59" s="34">
        <v>8.86910504796E11</v>
      </c>
      <c r="I59" s="34">
        <v>8.86910504796E11</v>
      </c>
      <c r="J59" s="34">
        <v>-9.968215105E9</v>
      </c>
      <c r="K59" s="34">
        <v>-9.968215105E9</v>
      </c>
      <c r="M59" s="39" t="s">
        <v>379</v>
      </c>
      <c r="N59" s="34">
        <v>-9.4453681508E10</v>
      </c>
      <c r="O59" s="34">
        <v>-1.4322248328E11</v>
      </c>
      <c r="P59" s="34">
        <v>-1.14809170079E11</v>
      </c>
    </row>
    <row r="60" ht="15.75" customHeight="1">
      <c r="B60" s="45" t="s">
        <v>329</v>
      </c>
      <c r="C60" s="34">
        <v>2.090673756908E12</v>
      </c>
      <c r="D60" s="34">
        <v>2.027772105965E12</v>
      </c>
      <c r="G60" s="45" t="s">
        <v>379</v>
      </c>
      <c r="H60" s="34">
        <v>8.86910504796E11</v>
      </c>
      <c r="I60" s="34">
        <v>8.86910504796E11</v>
      </c>
      <c r="J60" s="34">
        <v>-9.955982547E9</v>
      </c>
      <c r="K60" s="34">
        <v>-9.955982547E9</v>
      </c>
      <c r="M60" s="39" t="s">
        <v>89</v>
      </c>
      <c r="N60" s="34">
        <v>-1.6107911426E10</v>
      </c>
      <c r="O60" s="34">
        <v>-4.1686106852E10</v>
      </c>
      <c r="P60" s="34">
        <v>-1.326216467E9</v>
      </c>
    </row>
    <row r="61" ht="15.75" customHeight="1">
      <c r="B61" s="45" t="s">
        <v>380</v>
      </c>
      <c r="C61" s="34">
        <v>6.9394050223E10</v>
      </c>
      <c r="D61" s="34">
        <v>8.3709542233E10</v>
      </c>
      <c r="G61" s="45" t="s">
        <v>89</v>
      </c>
      <c r="H61" s="34">
        <v>0.0</v>
      </c>
      <c r="I61" s="34"/>
      <c r="J61" s="34">
        <v>-1.2232558E7</v>
      </c>
      <c r="K61" s="34">
        <v>-1.2232558E7</v>
      </c>
      <c r="M61" s="39" t="s">
        <v>190</v>
      </c>
      <c r="N61" s="34">
        <v>4.10805323538E11</v>
      </c>
      <c r="O61" s="34">
        <v>1.66682727517E11</v>
      </c>
      <c r="P61" s="34">
        <v>-1.97091905776E11</v>
      </c>
    </row>
    <row r="62" ht="15.75" customHeight="1">
      <c r="B62" s="45" t="s">
        <v>122</v>
      </c>
      <c r="C62" s="34">
        <v>2.1846700517E10</v>
      </c>
      <c r="D62" s="34">
        <v>3.7318840494E10</v>
      </c>
      <c r="G62" s="45" t="s">
        <v>190</v>
      </c>
      <c r="H62" s="34">
        <v>9.33551249199E11</v>
      </c>
      <c r="I62" s="34">
        <v>9.33551249199E11</v>
      </c>
      <c r="J62" s="34">
        <v>6.3720920735E10</v>
      </c>
      <c r="K62" s="34">
        <v>6.3720920735E10</v>
      </c>
      <c r="M62" s="39" t="s">
        <v>197</v>
      </c>
      <c r="N62" s="35"/>
      <c r="O62" s="35"/>
      <c r="P62" s="35"/>
    </row>
    <row r="63" ht="15.75" customHeight="1">
      <c r="B63" s="45" t="s">
        <v>381</v>
      </c>
      <c r="C63" s="34">
        <v>0.0</v>
      </c>
      <c r="D63" s="34">
        <v>2.762891947E9</v>
      </c>
      <c r="G63" s="45" t="s">
        <v>197</v>
      </c>
      <c r="H63" s="34"/>
      <c r="I63" s="34"/>
      <c r="J63" s="35"/>
      <c r="K63" s="35"/>
      <c r="M63" s="39" t="s">
        <v>199</v>
      </c>
      <c r="N63" s="34">
        <v>4.19715332564E11</v>
      </c>
      <c r="O63" s="34">
        <v>1.72915366496E11</v>
      </c>
      <c r="P63" s="34">
        <v>-1.92821776262E11</v>
      </c>
    </row>
    <row r="64" ht="15.75" customHeight="1">
      <c r="A64" s="1"/>
      <c r="B64" s="45" t="s">
        <v>125</v>
      </c>
      <c r="C64" s="34">
        <v>9.02350009454E11</v>
      </c>
      <c r="D64" s="34">
        <v>6.3054174505E11</v>
      </c>
      <c r="G64" s="45" t="s">
        <v>199</v>
      </c>
      <c r="H64" s="34">
        <v>9.33043262566E11</v>
      </c>
      <c r="I64" s="34">
        <v>9.33043262566E11</v>
      </c>
      <c r="J64" s="34">
        <v>6.5173185248E10</v>
      </c>
      <c r="K64" s="34">
        <v>6.5173185248E10</v>
      </c>
      <c r="M64" s="39" t="s">
        <v>201</v>
      </c>
      <c r="N64" s="34">
        <v>-8.910009026E9</v>
      </c>
      <c r="O64" s="34">
        <v>-6.232638979E9</v>
      </c>
      <c r="P64" s="34">
        <v>-4.270129514E9</v>
      </c>
    </row>
    <row r="65" ht="15.75" customHeight="1">
      <c r="A65" s="1"/>
      <c r="B65" s="45" t="s">
        <v>382</v>
      </c>
      <c r="C65" s="34">
        <v>2.90667017059E11</v>
      </c>
      <c r="D65" s="34">
        <v>2.49276736308E11</v>
      </c>
      <c r="G65" s="45" t="s">
        <v>201</v>
      </c>
      <c r="H65" s="34">
        <v>5.07986633E8</v>
      </c>
      <c r="I65" s="34">
        <v>5.07986633E8</v>
      </c>
      <c r="J65" s="34">
        <v>-1.452264513E9</v>
      </c>
      <c r="K65" s="34">
        <v>-1.452264513E9</v>
      </c>
      <c r="M65" s="39" t="s">
        <v>203</v>
      </c>
      <c r="N65" s="35"/>
      <c r="O65" s="35"/>
      <c r="P65" s="35"/>
    </row>
    <row r="66" ht="15.75" customHeight="1">
      <c r="B66" s="45" t="s">
        <v>383</v>
      </c>
      <c r="C66" s="34">
        <v>1.36787938086E11</v>
      </c>
      <c r="D66" s="34">
        <v>1.32646054557E11</v>
      </c>
      <c r="G66" s="45" t="s">
        <v>203</v>
      </c>
      <c r="H66" s="35"/>
      <c r="I66" s="35"/>
      <c r="J66" s="35"/>
      <c r="K66" s="35"/>
      <c r="M66" s="39" t="s">
        <v>313</v>
      </c>
      <c r="N66" s="34">
        <v>2591.0</v>
      </c>
      <c r="O66" s="34">
        <v>2092.0</v>
      </c>
      <c r="P66" s="34">
        <v>-224.0</v>
      </c>
    </row>
    <row r="67" ht="15.75" customHeight="1">
      <c r="B67" s="45" t="s">
        <v>384</v>
      </c>
      <c r="C67" s="34">
        <v>2.14431997763E11</v>
      </c>
      <c r="D67" s="34">
        <v>2.07330078337E11</v>
      </c>
      <c r="G67" s="45" t="s">
        <v>313</v>
      </c>
      <c r="H67" s="35">
        <v>159.0</v>
      </c>
      <c r="I67" s="35">
        <v>159.0</v>
      </c>
      <c r="J67" s="35">
        <v>321.0</v>
      </c>
      <c r="K67" s="35">
        <v>321.0</v>
      </c>
      <c r="M67" s="39" t="s">
        <v>316</v>
      </c>
      <c r="N67" s="34">
        <v>2589.0</v>
      </c>
      <c r="O67" s="34">
        <v>2092.0</v>
      </c>
      <c r="P67" s="35">
        <v>-224.0</v>
      </c>
    </row>
    <row r="68" ht="15.75" customHeight="1">
      <c r="B68" s="45" t="s">
        <v>385</v>
      </c>
      <c r="C68" s="34">
        <v>3.1211507909E10</v>
      </c>
      <c r="D68" s="34">
        <v>3.0505071667E10</v>
      </c>
      <c r="G68" s="45" t="s">
        <v>316</v>
      </c>
      <c r="H68" s="35">
        <v>159.0</v>
      </c>
      <c r="I68" s="35">
        <v>159.0</v>
      </c>
      <c r="J68" s="35">
        <v>321.0</v>
      </c>
      <c r="K68" s="35">
        <v>321.0</v>
      </c>
      <c r="M68" s="39" t="s">
        <v>314</v>
      </c>
      <c r="N68" s="35">
        <v>-169.0</v>
      </c>
      <c r="O68" s="35">
        <v>-228.0</v>
      </c>
      <c r="P68" s="35">
        <v>-185.0</v>
      </c>
    </row>
    <row r="69" ht="15.75" customHeight="1">
      <c r="B69" s="45" t="s">
        <v>130</v>
      </c>
      <c r="C69" s="34">
        <v>2.29251548637E11</v>
      </c>
      <c r="D69" s="34">
        <v>1.0783804181E10</v>
      </c>
      <c r="G69" s="45" t="s">
        <v>314</v>
      </c>
      <c r="H69" s="35">
        <v>42.0</v>
      </c>
      <c r="I69" s="35">
        <v>42.0</v>
      </c>
      <c r="J69" s="35">
        <v>-45.0</v>
      </c>
      <c r="K69" s="35">
        <v>-45.0</v>
      </c>
      <c r="M69" s="39" t="s">
        <v>318</v>
      </c>
      <c r="N69" s="35">
        <v>-169.0</v>
      </c>
      <c r="O69" s="35">
        <v>-228.0</v>
      </c>
      <c r="P69" s="35">
        <v>-185.0</v>
      </c>
    </row>
    <row r="70" ht="15.75" customHeight="1">
      <c r="B70" s="45" t="s">
        <v>131</v>
      </c>
      <c r="C70" s="34">
        <v>3.799544705473E12</v>
      </c>
      <c r="D70" s="34">
        <v>3.307593220262E12</v>
      </c>
      <c r="G70" s="45" t="s">
        <v>318</v>
      </c>
      <c r="H70" s="35">
        <v>42.0</v>
      </c>
      <c r="I70" s="35">
        <v>42.0</v>
      </c>
      <c r="J70" s="35">
        <v>-45.0</v>
      </c>
      <c r="K70" s="35">
        <v>-45.0</v>
      </c>
      <c r="M70" s="18"/>
    </row>
    <row r="71" ht="15.75" customHeight="1">
      <c r="A71" s="1"/>
      <c r="B71" s="45" t="s">
        <v>132</v>
      </c>
      <c r="C71" s="34"/>
      <c r="D71" s="34"/>
      <c r="G71" s="18"/>
      <c r="M71" s="18"/>
    </row>
    <row r="72" ht="15.75" customHeight="1">
      <c r="A72" s="1"/>
      <c r="B72" s="45" t="s">
        <v>216</v>
      </c>
      <c r="C72" s="34">
        <v>3.357851750573E12</v>
      </c>
      <c r="D72" s="34">
        <v>2.490054967099E12</v>
      </c>
      <c r="G72" s="18"/>
      <c r="M72" s="18"/>
    </row>
    <row r="73" ht="15.75" customHeight="1">
      <c r="B73" s="45" t="s">
        <v>339</v>
      </c>
      <c r="C73" s="34">
        <v>9.44596945E11</v>
      </c>
      <c r="D73" s="34">
        <v>9.44596945E11</v>
      </c>
      <c r="G73" s="18"/>
      <c r="M73" s="18"/>
    </row>
    <row r="74" ht="15.75" customHeight="1">
      <c r="B74" s="45" t="s">
        <v>340</v>
      </c>
      <c r="C74" s="34">
        <v>1.092202306315E12</v>
      </c>
      <c r="D74" s="34">
        <v>1.092001144057E12</v>
      </c>
      <c r="G74" s="18"/>
      <c r="M74" s="48"/>
    </row>
    <row r="75" ht="15.75" customHeight="1">
      <c r="B75" s="45" t="s">
        <v>386</v>
      </c>
      <c r="C75" s="34">
        <v>-3.412141084E10</v>
      </c>
      <c r="D75" s="34">
        <v>-3.412141084E10</v>
      </c>
      <c r="G75" s="48"/>
    </row>
    <row r="76" ht="15.75" customHeight="1">
      <c r="B76" s="45" t="s">
        <v>342</v>
      </c>
      <c r="C76" s="34">
        <v>7.93494784177E11</v>
      </c>
      <c r="D76" s="34">
        <v>-1.01713579335E11</v>
      </c>
    </row>
    <row r="77" ht="15.75" customHeight="1">
      <c r="B77" s="45" t="s">
        <v>387</v>
      </c>
      <c r="C77" s="34">
        <v>5.61679125921E11</v>
      </c>
      <c r="D77" s="34">
        <v>5.89291868217E11</v>
      </c>
    </row>
    <row r="78" ht="15.75" customHeight="1">
      <c r="B78" s="45" t="s">
        <v>137</v>
      </c>
      <c r="C78" s="34">
        <v>5.5216347417E10</v>
      </c>
      <c r="D78" s="34">
        <v>-7.3638071643E10</v>
      </c>
    </row>
    <row r="79" ht="15.75" customHeight="1">
      <c r="B79" s="45" t="s">
        <v>138</v>
      </c>
      <c r="C79" s="34">
        <v>3.41306809799E12</v>
      </c>
      <c r="D79" s="34">
        <v>2.416416895456E12</v>
      </c>
    </row>
    <row r="80" ht="15.75" customHeight="1">
      <c r="B80" s="85" t="s">
        <v>220</v>
      </c>
      <c r="C80" s="86">
        <v>7.212612803463E12</v>
      </c>
      <c r="D80" s="86">
        <v>5.724010115718E12</v>
      </c>
    </row>
    <row r="81" ht="15.75" customHeight="1">
      <c r="B81" s="18"/>
      <c r="C81" s="84"/>
      <c r="D81" s="84"/>
    </row>
    <row r="82" ht="15.75" customHeight="1">
      <c r="B82" s="48"/>
      <c r="C82" s="84"/>
      <c r="D82" s="84"/>
    </row>
    <row r="83" ht="15.75" customHeight="1">
      <c r="B83" s="92" t="s">
        <v>388</v>
      </c>
      <c r="C83" s="84"/>
      <c r="D83" s="84"/>
    </row>
    <row r="84" ht="15.75" customHeight="1">
      <c r="B84" s="20" t="s">
        <v>389</v>
      </c>
      <c r="D84" s="84"/>
    </row>
    <row r="85" ht="15.75" customHeight="1">
      <c r="B85" s="20" t="s">
        <v>223</v>
      </c>
      <c r="C85" s="84" t="s">
        <v>45</v>
      </c>
      <c r="D85" s="84"/>
    </row>
    <row r="86" ht="15.75" customHeight="1">
      <c r="B86" s="31"/>
      <c r="C86" s="70" t="s">
        <v>390</v>
      </c>
      <c r="D86" s="70" t="s">
        <v>391</v>
      </c>
      <c r="E86" s="31" t="s">
        <v>392</v>
      </c>
      <c r="F86" s="31" t="s">
        <v>393</v>
      </c>
    </row>
    <row r="87" ht="15.75" customHeight="1">
      <c r="B87" s="39" t="s">
        <v>226</v>
      </c>
      <c r="C87" s="35">
        <v>0.0</v>
      </c>
      <c r="D87" s="35">
        <v>0.0</v>
      </c>
      <c r="E87" s="34">
        <v>1.90922837E8</v>
      </c>
      <c r="F87" s="34">
        <v>1.90922837E8</v>
      </c>
    </row>
    <row r="88" ht="15.75" customHeight="1">
      <c r="B88" s="39" t="s">
        <v>317</v>
      </c>
      <c r="C88" s="35">
        <v>0.0</v>
      </c>
      <c r="D88" s="35">
        <v>0.0</v>
      </c>
      <c r="E88" s="34">
        <v>1.54861537E8</v>
      </c>
      <c r="F88" s="34">
        <v>1.54861537E8</v>
      </c>
    </row>
    <row r="89" ht="15.75" customHeight="1">
      <c r="B89" s="39" t="s">
        <v>394</v>
      </c>
      <c r="C89" s="35">
        <v>0.0</v>
      </c>
      <c r="D89" s="35">
        <v>0.0</v>
      </c>
      <c r="E89" s="34">
        <v>5.1747777E7</v>
      </c>
      <c r="F89" s="34">
        <v>5.1747777E7</v>
      </c>
    </row>
    <row r="90" ht="15.75" customHeight="1">
      <c r="A90" s="1" t="s">
        <v>144</v>
      </c>
      <c r="B90" s="39" t="s">
        <v>395</v>
      </c>
      <c r="C90" s="35">
        <v>0.0</v>
      </c>
      <c r="D90" s="35">
        <v>0.0</v>
      </c>
      <c r="E90" s="41">
        <v>2.35965E8</v>
      </c>
      <c r="F90" s="34">
        <v>2.35965E8</v>
      </c>
    </row>
    <row r="91" ht="15.75" customHeight="1">
      <c r="A91" s="1" t="s">
        <v>144</v>
      </c>
      <c r="B91" s="39" t="s">
        <v>330</v>
      </c>
      <c r="C91" s="35">
        <v>0.0</v>
      </c>
      <c r="D91" s="35">
        <v>0.0</v>
      </c>
      <c r="E91" s="41">
        <v>2.99336786E8</v>
      </c>
      <c r="F91" s="34">
        <v>2.99336786E8</v>
      </c>
    </row>
    <row r="92" ht="15.75" customHeight="1">
      <c r="B92" s="39" t="s">
        <v>396</v>
      </c>
      <c r="C92" s="35">
        <v>0.0</v>
      </c>
      <c r="D92" s="35">
        <v>0.0</v>
      </c>
      <c r="E92" s="34">
        <v>41359.0</v>
      </c>
      <c r="F92" s="34">
        <v>41359.0</v>
      </c>
    </row>
    <row r="93" ht="15.75" customHeight="1">
      <c r="B93" s="39" t="s">
        <v>397</v>
      </c>
      <c r="C93" s="35">
        <v>0.0</v>
      </c>
      <c r="D93" s="35">
        <v>0.0</v>
      </c>
      <c r="E93" s="34">
        <v>241265.0</v>
      </c>
      <c r="F93" s="34">
        <v>241265.0</v>
      </c>
    </row>
    <row r="94" ht="15.75" customHeight="1">
      <c r="B94" s="39" t="s">
        <v>398</v>
      </c>
      <c r="C94" s="34">
        <v>1470713.0</v>
      </c>
      <c r="D94" s="35">
        <v>0.0</v>
      </c>
      <c r="E94" s="35">
        <v>0.0</v>
      </c>
      <c r="F94" s="34">
        <v>1470713.0</v>
      </c>
    </row>
    <row r="95" ht="15.75" customHeight="1">
      <c r="A95" s="1" t="s">
        <v>144</v>
      </c>
      <c r="B95" s="39" t="s">
        <v>399</v>
      </c>
      <c r="C95" s="35">
        <v>0.0</v>
      </c>
      <c r="D95" s="35">
        <v>0.0</v>
      </c>
      <c r="E95" s="41">
        <v>1.37520503E8</v>
      </c>
      <c r="F95" s="34">
        <v>1.37520503E8</v>
      </c>
    </row>
    <row r="96" ht="15.75" customHeight="1">
      <c r="B96" s="39" t="s">
        <v>400</v>
      </c>
      <c r="C96" s="34">
        <v>1470713.0</v>
      </c>
      <c r="D96" s="35">
        <v>0.0</v>
      </c>
      <c r="E96" s="34">
        <v>1.070637064E9</v>
      </c>
      <c r="F96" s="34">
        <v>1.072107777E9</v>
      </c>
    </row>
    <row r="97" ht="15.75" customHeight="1">
      <c r="B97" s="20"/>
    </row>
    <row r="98" ht="15.75" customHeight="1">
      <c r="B98" s="20"/>
    </row>
    <row r="99" ht="15.75" customHeight="1">
      <c r="B99" s="42" t="s">
        <v>401</v>
      </c>
    </row>
    <row r="100" ht="15.75" customHeight="1">
      <c r="B100" s="20"/>
    </row>
    <row r="101" ht="15.75" customHeight="1">
      <c r="B101" s="92" t="s">
        <v>402</v>
      </c>
    </row>
    <row r="102" ht="15.75" customHeight="1">
      <c r="B102" s="20"/>
    </row>
    <row r="103" ht="15.75" customHeight="1">
      <c r="B103" s="20" t="s">
        <v>402</v>
      </c>
    </row>
    <row r="104" ht="15.75" customHeight="1">
      <c r="B104" s="20" t="s">
        <v>223</v>
      </c>
      <c r="C104" s="22" t="s">
        <v>45</v>
      </c>
    </row>
    <row r="105" ht="15.75" customHeight="1">
      <c r="B105" s="31"/>
      <c r="C105" s="31" t="s">
        <v>402</v>
      </c>
    </row>
    <row r="106" ht="15.75" customHeight="1">
      <c r="B106" s="39" t="s">
        <v>403</v>
      </c>
      <c r="C106" s="35">
        <v>0.0</v>
      </c>
    </row>
    <row r="107" ht="15.75" customHeight="1">
      <c r="B107" s="39" t="s">
        <v>404</v>
      </c>
      <c r="C107" s="34">
        <v>9.6861847E7</v>
      </c>
    </row>
    <row r="108" ht="15.75" customHeight="1">
      <c r="B108" s="39" t="s">
        <v>405</v>
      </c>
      <c r="C108" s="34">
        <v>1470713.0</v>
      </c>
    </row>
    <row r="109" ht="15.75" customHeight="1">
      <c r="B109" s="39" t="s">
        <v>228</v>
      </c>
      <c r="C109" s="41">
        <v>2.6528485E7</v>
      </c>
      <c r="E109" s="93">
        <f>C109+C114</f>
        <v>137520503</v>
      </c>
    </row>
    <row r="110" ht="15.75" customHeight="1">
      <c r="B110" s="39" t="s">
        <v>378</v>
      </c>
      <c r="C110" s="34">
        <v>1.24861045E8</v>
      </c>
    </row>
    <row r="111" ht="15.75" customHeight="1">
      <c r="B111" s="39" t="s">
        <v>406</v>
      </c>
      <c r="C111" s="34">
        <v>41359.0</v>
      </c>
    </row>
    <row r="112" ht="15.75" customHeight="1">
      <c r="B112" s="39" t="s">
        <v>407</v>
      </c>
      <c r="C112" s="34">
        <v>2.5754561E7</v>
      </c>
    </row>
    <row r="113" ht="15.75" customHeight="1">
      <c r="B113" s="39" t="s">
        <v>408</v>
      </c>
      <c r="C113" s="35">
        <v>0.0</v>
      </c>
    </row>
    <row r="114" ht="15.75" customHeight="1">
      <c r="B114" s="39" t="s">
        <v>236</v>
      </c>
      <c r="C114" s="41">
        <v>1.10992018E8</v>
      </c>
    </row>
    <row r="115" ht="15.75" customHeight="1">
      <c r="B115" s="39" t="s">
        <v>383</v>
      </c>
      <c r="C115" s="34">
        <v>1.36787938E8</v>
      </c>
    </row>
    <row r="116" ht="15.75" customHeight="1">
      <c r="B116" s="20"/>
    </row>
    <row r="117" ht="15.75" customHeight="1">
      <c r="B117" s="20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2:C22"/>
    <mergeCell ref="B23:C23"/>
    <mergeCell ref="B24:C24"/>
    <mergeCell ref="B25:C25"/>
    <mergeCell ref="G35:G36"/>
    <mergeCell ref="H35:I35"/>
    <mergeCell ref="J35:K35"/>
    <mergeCell ref="B84:C84"/>
    <mergeCell ref="B103:C103"/>
    <mergeCell ref="B13:C14"/>
    <mergeCell ref="D13:F13"/>
    <mergeCell ref="G13:G14"/>
    <mergeCell ref="B15:C15"/>
    <mergeCell ref="B16:C16"/>
    <mergeCell ref="B17:C17"/>
    <mergeCell ref="B18:B2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88"/>
    <col customWidth="1" min="3" max="3" width="20.5"/>
    <col customWidth="1" min="4" max="4" width="15.0"/>
    <col customWidth="1" min="5" max="7" width="11.0"/>
    <col customWidth="1" min="8" max="8" width="24.88"/>
    <col customWidth="1" min="9" max="9" width="15.38"/>
    <col customWidth="1" min="10" max="26" width="11.0"/>
  </cols>
  <sheetData>
    <row r="1" ht="15.75" customHeight="1">
      <c r="A1" s="1" t="s">
        <v>409</v>
      </c>
    </row>
    <row r="2" ht="15.75" customHeight="1">
      <c r="A2" s="2">
        <v>45777.0</v>
      </c>
    </row>
    <row r="3" ht="15.75" customHeight="1"/>
    <row r="4" ht="15.75" customHeight="1">
      <c r="G4" s="3" t="s">
        <v>1</v>
      </c>
    </row>
    <row r="5" ht="15.75" customHeight="1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</row>
    <row r="6" ht="15.75" customHeight="1">
      <c r="B6" s="94">
        <v>248000.0</v>
      </c>
      <c r="C6" s="95">
        <f>D25</f>
        <v>21794360</v>
      </c>
      <c r="D6" s="96">
        <f>(B6*C6)/10^6</f>
        <v>5405001.28</v>
      </c>
      <c r="E6" s="96">
        <f>SUMIF(A:A,E5,E:E)/10^3</f>
        <v>295353.179</v>
      </c>
      <c r="F6" s="96">
        <f>(H41+N41-J41)/10^6</f>
        <v>276386.0388</v>
      </c>
      <c r="G6" s="13">
        <f>IF(F6&lt;=200, 0.99, IF(F6&lt;=20000, 0.209, IF(F6&lt;=300000, 0.231, 0.264)))</f>
        <v>0.231</v>
      </c>
    </row>
    <row r="7" ht="15.75" customHeight="1"/>
    <row r="8" ht="15.75" customHeight="1"/>
    <row r="9" ht="15.75" customHeight="1">
      <c r="B9" s="17" t="s">
        <v>10</v>
      </c>
    </row>
    <row r="10" ht="15.75" customHeight="1">
      <c r="B10" s="19"/>
    </row>
    <row r="11" ht="15.75" customHeight="1">
      <c r="B11" s="19" t="s">
        <v>11</v>
      </c>
    </row>
    <row r="12" ht="15.75" customHeight="1">
      <c r="B12" s="19" t="s">
        <v>410</v>
      </c>
      <c r="C12" s="44" t="s">
        <v>13</v>
      </c>
      <c r="D12" s="20" t="s">
        <v>14</v>
      </c>
      <c r="E12" s="22"/>
    </row>
    <row r="13" ht="15.75" customHeight="1">
      <c r="B13" s="20" t="s">
        <v>12</v>
      </c>
      <c r="C13" s="67">
        <v>45747.0</v>
      </c>
      <c r="D13" s="20" t="s">
        <v>14</v>
      </c>
      <c r="E13" s="22" t="s">
        <v>154</v>
      </c>
      <c r="F13" s="97"/>
      <c r="G13" s="98" t="s">
        <v>18</v>
      </c>
    </row>
    <row r="14" ht="15.75" customHeight="1">
      <c r="B14" s="23" t="s">
        <v>16</v>
      </c>
      <c r="C14" s="24"/>
      <c r="D14" s="25" t="s">
        <v>17</v>
      </c>
      <c r="E14" s="26"/>
      <c r="F14" s="27"/>
      <c r="G14" s="28" t="s">
        <v>18</v>
      </c>
    </row>
    <row r="15" ht="15.75" customHeight="1">
      <c r="B15" s="29"/>
      <c r="C15" s="30"/>
      <c r="D15" s="70" t="s">
        <v>19</v>
      </c>
      <c r="E15" s="70" t="s">
        <v>20</v>
      </c>
      <c r="F15" s="70" t="s">
        <v>21</v>
      </c>
      <c r="G15" s="32"/>
    </row>
    <row r="16" ht="15.75" customHeight="1">
      <c r="B16" s="33" t="s">
        <v>22</v>
      </c>
      <c r="C16" s="27"/>
      <c r="D16" s="34">
        <v>9.0E7</v>
      </c>
      <c r="E16" s="34">
        <v>1.0E7</v>
      </c>
      <c r="F16" s="34">
        <v>1.0E8</v>
      </c>
      <c r="G16" s="37" t="s">
        <v>23</v>
      </c>
    </row>
    <row r="17" ht="15.75" customHeight="1">
      <c r="B17" s="33" t="s">
        <v>25</v>
      </c>
      <c r="C17" s="27"/>
      <c r="D17" s="34">
        <v>2.2E7</v>
      </c>
      <c r="E17" s="35" t="s">
        <v>23</v>
      </c>
      <c r="F17" s="34">
        <v>2.2E7</v>
      </c>
      <c r="G17" s="37" t="s">
        <v>23</v>
      </c>
    </row>
    <row r="18" ht="15.75" customHeight="1">
      <c r="B18" s="33" t="s">
        <v>26</v>
      </c>
      <c r="C18" s="27"/>
      <c r="D18" s="34" t="s">
        <v>23</v>
      </c>
      <c r="E18" s="35" t="s">
        <v>23</v>
      </c>
      <c r="F18" s="34" t="s">
        <v>23</v>
      </c>
      <c r="G18" s="37" t="s">
        <v>23</v>
      </c>
    </row>
    <row r="19" ht="15.75" customHeight="1">
      <c r="B19" s="38"/>
      <c r="C19" s="39" t="s">
        <v>27</v>
      </c>
      <c r="D19" s="34" t="s">
        <v>23</v>
      </c>
      <c r="E19" s="35" t="s">
        <v>23</v>
      </c>
      <c r="F19" s="34" t="s">
        <v>23</v>
      </c>
      <c r="G19" s="37" t="s">
        <v>23</v>
      </c>
    </row>
    <row r="20" ht="15.75" customHeight="1">
      <c r="B20" s="40"/>
      <c r="C20" s="39" t="s">
        <v>28</v>
      </c>
      <c r="D20" s="34" t="s">
        <v>23</v>
      </c>
      <c r="E20" s="35" t="s">
        <v>23</v>
      </c>
      <c r="F20" s="34" t="s">
        <v>23</v>
      </c>
      <c r="G20" s="37" t="s">
        <v>23</v>
      </c>
    </row>
    <row r="21" ht="15.75" customHeight="1">
      <c r="B21" s="40"/>
      <c r="C21" s="39" t="s">
        <v>29</v>
      </c>
      <c r="D21" s="35" t="s">
        <v>23</v>
      </c>
      <c r="E21" s="35" t="s">
        <v>23</v>
      </c>
      <c r="F21" s="35" t="s">
        <v>23</v>
      </c>
      <c r="G21" s="37" t="s">
        <v>23</v>
      </c>
    </row>
    <row r="22" ht="15.75" customHeight="1">
      <c r="B22" s="32"/>
      <c r="C22" s="39" t="s">
        <v>30</v>
      </c>
      <c r="D22" s="34" t="s">
        <v>23</v>
      </c>
      <c r="E22" s="35" t="s">
        <v>23</v>
      </c>
      <c r="F22" s="34" t="s">
        <v>23</v>
      </c>
      <c r="G22" s="37" t="s">
        <v>23</v>
      </c>
    </row>
    <row r="23" ht="15.75" customHeight="1">
      <c r="B23" s="33" t="s">
        <v>31</v>
      </c>
      <c r="C23" s="27"/>
      <c r="D23" s="34">
        <v>2.2E7</v>
      </c>
      <c r="E23" s="35" t="s">
        <v>23</v>
      </c>
      <c r="F23" s="34">
        <v>2.2E7</v>
      </c>
      <c r="G23" s="37" t="s">
        <v>23</v>
      </c>
    </row>
    <row r="24" ht="15.75" customHeight="1">
      <c r="B24" s="33" t="s">
        <v>32</v>
      </c>
      <c r="C24" s="27"/>
      <c r="D24" s="34">
        <v>205640.0</v>
      </c>
      <c r="E24" s="35" t="s">
        <v>23</v>
      </c>
      <c r="F24" s="34">
        <v>205640.0</v>
      </c>
      <c r="G24" s="37" t="s">
        <v>23</v>
      </c>
    </row>
    <row r="25" ht="15.75" customHeight="1">
      <c r="B25" s="33" t="s">
        <v>33</v>
      </c>
      <c r="C25" s="27"/>
      <c r="D25" s="34">
        <v>2.179436E7</v>
      </c>
      <c r="E25" s="35" t="s">
        <v>23</v>
      </c>
      <c r="F25" s="34">
        <v>2.179436E7</v>
      </c>
      <c r="G25" s="37" t="s">
        <v>23</v>
      </c>
    </row>
    <row r="26" ht="15.75" customHeight="1">
      <c r="B26" s="33" t="s">
        <v>34</v>
      </c>
      <c r="C26" s="27"/>
      <c r="D26" s="34">
        <v>0.93</v>
      </c>
      <c r="E26" s="35" t="s">
        <v>23</v>
      </c>
      <c r="F26" s="34">
        <v>0.93</v>
      </c>
      <c r="G26" s="37" t="s">
        <v>23</v>
      </c>
    </row>
    <row r="27" ht="15.75" customHeight="1">
      <c r="B27" s="20"/>
      <c r="C27" s="99"/>
      <c r="D27" s="35" t="s">
        <v>23</v>
      </c>
      <c r="E27" s="35" t="s">
        <v>23</v>
      </c>
      <c r="F27" s="35" t="s">
        <v>23</v>
      </c>
      <c r="G27" s="37" t="s">
        <v>23</v>
      </c>
    </row>
    <row r="28" ht="15.75" customHeight="1">
      <c r="B28" s="20"/>
    </row>
    <row r="29" ht="15.75" customHeight="1"/>
    <row r="30" ht="15.75" customHeight="1">
      <c r="B30" s="42" t="s">
        <v>35</v>
      </c>
      <c r="G30" s="42" t="s">
        <v>36</v>
      </c>
      <c r="M30" s="42" t="s">
        <v>36</v>
      </c>
    </row>
    <row r="31" ht="15.75" customHeight="1">
      <c r="B31" s="43" t="s">
        <v>37</v>
      </c>
      <c r="G31" s="43" t="s">
        <v>38</v>
      </c>
      <c r="M31" s="43" t="s">
        <v>38</v>
      </c>
    </row>
    <row r="32" ht="15.75" customHeight="1">
      <c r="B32" s="44" t="s">
        <v>411</v>
      </c>
      <c r="G32" s="44" t="s">
        <v>412</v>
      </c>
      <c r="M32" s="44" t="s">
        <v>413</v>
      </c>
    </row>
    <row r="33" ht="15.75" customHeight="1">
      <c r="B33" s="44" t="s">
        <v>414</v>
      </c>
      <c r="G33" s="44" t="s">
        <v>415</v>
      </c>
      <c r="M33" s="44" t="s">
        <v>416</v>
      </c>
    </row>
    <row r="34" ht="15.75" customHeight="1">
      <c r="B34" s="22" t="s">
        <v>155</v>
      </c>
      <c r="G34" s="22" t="s">
        <v>155</v>
      </c>
      <c r="M34" s="44" t="s">
        <v>417</v>
      </c>
    </row>
    <row r="35" ht="15.75" customHeight="1">
      <c r="B35" s="31"/>
      <c r="C35" s="31" t="s">
        <v>418</v>
      </c>
      <c r="D35" s="31" t="s">
        <v>419</v>
      </c>
      <c r="G35" s="28"/>
      <c r="H35" s="25" t="s">
        <v>420</v>
      </c>
      <c r="I35" s="27"/>
      <c r="J35" s="25" t="s">
        <v>421</v>
      </c>
      <c r="K35" s="27"/>
      <c r="M35" s="22" t="s">
        <v>155</v>
      </c>
    </row>
    <row r="36" ht="15.75" customHeight="1">
      <c r="B36" s="45" t="s">
        <v>51</v>
      </c>
      <c r="C36" s="35"/>
      <c r="D36" s="35"/>
      <c r="G36" s="32"/>
      <c r="H36" s="31" t="s">
        <v>52</v>
      </c>
      <c r="I36" s="31" t="s">
        <v>53</v>
      </c>
      <c r="J36" s="31" t="s">
        <v>52</v>
      </c>
      <c r="K36" s="31" t="s">
        <v>53</v>
      </c>
      <c r="M36" s="31"/>
      <c r="N36" s="31" t="s">
        <v>357</v>
      </c>
      <c r="O36" s="31" t="s">
        <v>422</v>
      </c>
      <c r="P36" s="31" t="s">
        <v>423</v>
      </c>
    </row>
    <row r="37" ht="15.75" customHeight="1">
      <c r="B37" s="45" t="s">
        <v>57</v>
      </c>
      <c r="C37" s="34">
        <v>4.364826755192E12</v>
      </c>
      <c r="D37" s="34">
        <v>3.894568274428E12</v>
      </c>
      <c r="G37" s="45" t="s">
        <v>424</v>
      </c>
      <c r="H37" s="34">
        <v>9.07622648219E11</v>
      </c>
      <c r="I37" s="34">
        <v>9.07622648219E11</v>
      </c>
      <c r="J37" s="34">
        <v>7.63536502941E11</v>
      </c>
      <c r="K37" s="34">
        <v>7.63536502941E11</v>
      </c>
      <c r="M37" s="45" t="s">
        <v>424</v>
      </c>
      <c r="N37" s="34">
        <v>3.276339508425E12</v>
      </c>
      <c r="O37" s="34">
        <v>2.308571092877E12</v>
      </c>
      <c r="P37" s="34">
        <v>2.220751868438E12</v>
      </c>
    </row>
    <row r="38" ht="15.75" customHeight="1">
      <c r="B38" s="45" t="s">
        <v>256</v>
      </c>
      <c r="C38" s="34">
        <v>1.22982509455E11</v>
      </c>
      <c r="D38" s="34">
        <v>5.46947952484E11</v>
      </c>
      <c r="G38" s="45" t="s">
        <v>278</v>
      </c>
      <c r="H38" s="34">
        <v>7.33980258876E11</v>
      </c>
      <c r="I38" s="34">
        <v>7.33980258876E11</v>
      </c>
      <c r="J38" s="34">
        <v>6.57287629253E11</v>
      </c>
      <c r="K38" s="34">
        <v>6.57287629253E11</v>
      </c>
      <c r="M38" s="45" t="s">
        <v>278</v>
      </c>
      <c r="N38" s="34">
        <v>2.823712221178E12</v>
      </c>
      <c r="O38" s="34">
        <v>1.961778919898E12</v>
      </c>
      <c r="P38" s="34">
        <v>1.894209846592E12</v>
      </c>
    </row>
    <row r="39" ht="15.75" customHeight="1">
      <c r="B39" s="45" t="s">
        <v>263</v>
      </c>
      <c r="C39" s="34">
        <v>2.9919143181E11</v>
      </c>
      <c r="D39" s="34">
        <v>3.64450287404E11</v>
      </c>
      <c r="G39" s="45" t="s">
        <v>62</v>
      </c>
      <c r="H39" s="34">
        <v>1.73642389343E11</v>
      </c>
      <c r="I39" s="34">
        <v>1.73642389343E11</v>
      </c>
      <c r="J39" s="34">
        <v>1.06248873688E11</v>
      </c>
      <c r="K39" s="34">
        <v>1.06248873688E11</v>
      </c>
      <c r="M39" s="45" t="s">
        <v>62</v>
      </c>
      <c r="N39" s="34">
        <v>4.52627287247E11</v>
      </c>
      <c r="O39" s="34">
        <v>3.46792172979E11</v>
      </c>
      <c r="P39" s="34">
        <v>3.26542021846E11</v>
      </c>
    </row>
    <row r="40" ht="15.75" customHeight="1">
      <c r="B40" s="45" t="s">
        <v>425</v>
      </c>
      <c r="C40" s="34">
        <v>7.06348728363E11</v>
      </c>
      <c r="D40" s="34">
        <v>4.58999591583E11</v>
      </c>
      <c r="G40" s="45" t="s">
        <v>281</v>
      </c>
      <c r="H40" s="34">
        <v>6.0045463407E10</v>
      </c>
      <c r="I40" s="34">
        <v>6.0045463407E10</v>
      </c>
      <c r="J40" s="34">
        <v>3.9258594314E10</v>
      </c>
      <c r="K40" s="34">
        <v>3.9258594314E10</v>
      </c>
      <c r="M40" s="45" t="s">
        <v>281</v>
      </c>
      <c r="N40" s="34">
        <v>2.22847894976E11</v>
      </c>
      <c r="O40" s="34">
        <v>1.60413734039E11</v>
      </c>
      <c r="P40" s="34">
        <v>1.47430283974E11</v>
      </c>
    </row>
    <row r="41" ht="15.75" customHeight="1">
      <c r="B41" s="45" t="s">
        <v>362</v>
      </c>
      <c r="C41" s="34">
        <v>3.01998296897E11</v>
      </c>
      <c r="D41" s="34">
        <v>3.63527737579E11</v>
      </c>
      <c r="G41" s="71" t="s">
        <v>360</v>
      </c>
      <c r="H41" s="41">
        <v>1.13596925936E11</v>
      </c>
      <c r="I41" s="41">
        <v>1.13596925936E11</v>
      </c>
      <c r="J41" s="41">
        <v>6.6990279374E10</v>
      </c>
      <c r="K41" s="41">
        <v>6.6990279374E10</v>
      </c>
      <c r="L41" s="46"/>
      <c r="M41" s="71" t="s">
        <v>360</v>
      </c>
      <c r="N41" s="41">
        <v>2.29779392271E11</v>
      </c>
      <c r="O41" s="34">
        <v>1.8637843894E11</v>
      </c>
      <c r="P41" s="34">
        <v>1.79111737872E11</v>
      </c>
    </row>
    <row r="42" ht="15.75" customHeight="1">
      <c r="B42" s="45" t="s">
        <v>359</v>
      </c>
      <c r="C42" s="34">
        <v>9.7493572159E10</v>
      </c>
      <c r="D42" s="34">
        <v>8.2169825799E10</v>
      </c>
      <c r="G42" s="45" t="s">
        <v>287</v>
      </c>
      <c r="H42" s="34">
        <v>2.487341066E9</v>
      </c>
      <c r="I42" s="34">
        <v>2.487341066E9</v>
      </c>
      <c r="J42" s="34">
        <v>8.947541229E9</v>
      </c>
      <c r="K42" s="34">
        <v>8.947541229E9</v>
      </c>
      <c r="M42" s="45" t="s">
        <v>287</v>
      </c>
      <c r="N42" s="34">
        <v>2.7824271978E10</v>
      </c>
      <c r="O42" s="34">
        <v>9.578470422E9</v>
      </c>
      <c r="P42" s="34">
        <v>3.4411637673E10</v>
      </c>
    </row>
    <row r="43" ht="15.75" customHeight="1">
      <c r="B43" s="45" t="s">
        <v>286</v>
      </c>
      <c r="C43" s="34">
        <v>2.836812207908E12</v>
      </c>
      <c r="D43" s="34">
        <v>2.078472879579E12</v>
      </c>
      <c r="G43" s="45" t="s">
        <v>365</v>
      </c>
      <c r="H43" s="34">
        <v>3.49973585E9</v>
      </c>
      <c r="I43" s="34">
        <v>3.49973585E9</v>
      </c>
      <c r="J43" s="34">
        <v>1.6764956793E10</v>
      </c>
      <c r="K43" s="34">
        <v>1.6764956793E10</v>
      </c>
      <c r="M43" s="45" t="s">
        <v>365</v>
      </c>
      <c r="N43" s="34">
        <v>8.4519397962E10</v>
      </c>
      <c r="O43" s="34">
        <v>1.5281784063E10</v>
      </c>
      <c r="P43" s="34">
        <v>3.6297682943E10</v>
      </c>
    </row>
    <row r="44" ht="15.75" customHeight="1">
      <c r="B44" s="45" t="s">
        <v>71</v>
      </c>
      <c r="C44" s="34">
        <v>8600.0</v>
      </c>
      <c r="D44" s="34">
        <v>0.0</v>
      </c>
      <c r="G44" s="45" t="s">
        <v>361</v>
      </c>
      <c r="H44" s="34">
        <v>4.126760355E9</v>
      </c>
      <c r="I44" s="34">
        <v>4.126760355E9</v>
      </c>
      <c r="J44" s="34">
        <v>2.3001008528E10</v>
      </c>
      <c r="K44" s="34">
        <v>2.3001008528E10</v>
      </c>
      <c r="M44" s="45" t="s">
        <v>361</v>
      </c>
      <c r="N44" s="34">
        <v>8.6274860803E10</v>
      </c>
      <c r="O44" s="34">
        <v>2.5590118881E10</v>
      </c>
      <c r="P44" s="34">
        <v>4.915718472E10</v>
      </c>
    </row>
    <row r="45" ht="15.75" customHeight="1">
      <c r="B45" s="45" t="s">
        <v>75</v>
      </c>
      <c r="C45" s="34">
        <v>2.253108836826E12</v>
      </c>
      <c r="D45" s="34">
        <v>2.230696378789E12</v>
      </c>
      <c r="G45" s="45" t="s">
        <v>363</v>
      </c>
      <c r="H45" s="34">
        <v>1.447763494E10</v>
      </c>
      <c r="I45" s="34">
        <v>1.447763494E10</v>
      </c>
      <c r="J45" s="34">
        <v>1.3018872641E10</v>
      </c>
      <c r="K45" s="34">
        <v>1.3018872641E10</v>
      </c>
      <c r="M45" s="45" t="s">
        <v>363</v>
      </c>
      <c r="N45" s="34">
        <v>4.9798805244E10</v>
      </c>
      <c r="O45" s="34">
        <v>2.1363906572E10</v>
      </c>
      <c r="P45" s="34">
        <v>7.0782113607E10</v>
      </c>
    </row>
    <row r="46" ht="15.75" customHeight="1">
      <c r="B46" s="45" t="s">
        <v>426</v>
      </c>
      <c r="C46" s="34">
        <v>8.855579171E9</v>
      </c>
      <c r="D46" s="34">
        <v>4.407734259E9</v>
      </c>
      <c r="G46" s="45" t="s">
        <v>296</v>
      </c>
      <c r="H46" s="34">
        <v>3.65642462E8</v>
      </c>
      <c r="I46" s="34">
        <v>3.65642462E8</v>
      </c>
      <c r="J46" s="34">
        <v>2.52250388E8</v>
      </c>
      <c r="K46" s="34">
        <v>2.52250388E8</v>
      </c>
      <c r="M46" s="45" t="s">
        <v>296</v>
      </c>
      <c r="N46" s="34">
        <v>6.8898126E7</v>
      </c>
      <c r="O46" s="34">
        <v>1.01108735E8</v>
      </c>
      <c r="P46" s="34">
        <v>2.17118998E9</v>
      </c>
    </row>
    <row r="47" ht="15.75" customHeight="1">
      <c r="B47" s="45" t="s">
        <v>297</v>
      </c>
      <c r="C47" s="34">
        <v>1.398356579725E12</v>
      </c>
      <c r="D47" s="34">
        <v>1.371400306134E12</v>
      </c>
      <c r="G47" s="45" t="s">
        <v>78</v>
      </c>
      <c r="H47" s="34">
        <v>1.02599299029E11</v>
      </c>
      <c r="I47" s="34">
        <v>1.02599299029E11</v>
      </c>
      <c r="J47" s="34">
        <v>6.9407250085E10</v>
      </c>
      <c r="K47" s="34">
        <v>6.9407250085E10</v>
      </c>
      <c r="M47" s="45" t="s">
        <v>78</v>
      </c>
      <c r="N47" s="34">
        <v>2.09629219972E11</v>
      </c>
      <c r="O47" s="34">
        <v>1.85002446343E11</v>
      </c>
      <c r="P47" s="34">
        <v>1.57771953695E11</v>
      </c>
    </row>
    <row r="48" ht="15.75" customHeight="1">
      <c r="B48" s="45" t="s">
        <v>301</v>
      </c>
      <c r="C48" s="34">
        <v>4.099143034E9</v>
      </c>
      <c r="D48" s="34">
        <v>4.108934797E9</v>
      </c>
      <c r="G48" s="45" t="s">
        <v>370</v>
      </c>
      <c r="H48" s="34">
        <v>1.9767092549E10</v>
      </c>
      <c r="I48" s="34">
        <v>1.9767092549E10</v>
      </c>
      <c r="J48" s="34">
        <v>8.83243144E9</v>
      </c>
      <c r="K48" s="34">
        <v>8.83243144E9</v>
      </c>
      <c r="M48" s="45" t="s">
        <v>370</v>
      </c>
      <c r="N48" s="34">
        <v>-7.019499582E9</v>
      </c>
      <c r="O48" s="34">
        <v>1.0040303224E10</v>
      </c>
      <c r="P48" s="34">
        <v>3.4832366324E10</v>
      </c>
    </row>
    <row r="49" ht="15.75" customHeight="1">
      <c r="B49" s="45" t="s">
        <v>299</v>
      </c>
      <c r="C49" s="34">
        <v>6.38072265233E11</v>
      </c>
      <c r="D49" s="34">
        <v>6.29237817038E11</v>
      </c>
      <c r="G49" s="45" t="s">
        <v>373</v>
      </c>
      <c r="H49" s="34">
        <v>8.283220648E10</v>
      </c>
      <c r="I49" s="34">
        <v>8.283220648E10</v>
      </c>
      <c r="J49" s="34">
        <v>6.0574818645E10</v>
      </c>
      <c r="K49" s="34">
        <v>6.0574818645E10</v>
      </c>
      <c r="M49" s="45" t="s">
        <v>373</v>
      </c>
      <c r="N49" s="34">
        <v>2.16648719554E11</v>
      </c>
      <c r="O49" s="34">
        <v>1.74962143119E11</v>
      </c>
      <c r="P49" s="34">
        <v>1.22939587371E11</v>
      </c>
    </row>
    <row r="50" ht="15.75" customHeight="1">
      <c r="B50" s="45" t="s">
        <v>293</v>
      </c>
      <c r="C50" s="34">
        <v>4.882183271E9</v>
      </c>
      <c r="D50" s="34">
        <v>3.331540809E9</v>
      </c>
      <c r="G50" s="45" t="s">
        <v>374</v>
      </c>
      <c r="H50" s="34"/>
      <c r="I50" s="34"/>
      <c r="J50" s="34"/>
      <c r="K50" s="34"/>
      <c r="M50" s="45" t="s">
        <v>374</v>
      </c>
      <c r="N50" s="34"/>
      <c r="O50" s="34"/>
      <c r="P50" s="34"/>
    </row>
    <row r="51" ht="15.75" customHeight="1">
      <c r="B51" s="45" t="s">
        <v>369</v>
      </c>
      <c r="C51" s="34">
        <v>7.911117247E10</v>
      </c>
      <c r="D51" s="34">
        <v>7.8594391037E10</v>
      </c>
      <c r="G51" s="45" t="s">
        <v>111</v>
      </c>
      <c r="H51" s="34">
        <v>8.4223792038E10</v>
      </c>
      <c r="I51" s="34">
        <v>8.4223792038E10</v>
      </c>
      <c r="J51" s="34">
        <v>6.0574818645E10</v>
      </c>
      <c r="K51" s="34">
        <v>6.0574818645E10</v>
      </c>
      <c r="M51" s="45" t="s">
        <v>111</v>
      </c>
      <c r="N51" s="34">
        <v>2.21711612922E11</v>
      </c>
      <c r="O51" s="34">
        <v>1.74962143119E11</v>
      </c>
      <c r="P51" s="34">
        <v>1.22939587371E11</v>
      </c>
    </row>
    <row r="52" ht="15.75" customHeight="1">
      <c r="B52" s="45" t="s">
        <v>311</v>
      </c>
      <c r="C52" s="34">
        <v>1.4770782309E10</v>
      </c>
      <c r="D52" s="34">
        <v>1.0771626186E10</v>
      </c>
      <c r="G52" s="45" t="s">
        <v>375</v>
      </c>
      <c r="H52" s="34">
        <v>-1.391585558E9</v>
      </c>
      <c r="I52" s="34">
        <v>-1.391585558E9</v>
      </c>
      <c r="J52" s="34">
        <v>0.0</v>
      </c>
      <c r="K52" s="34">
        <v>0.0</v>
      </c>
      <c r="M52" s="45" t="s">
        <v>375</v>
      </c>
      <c r="N52" s="34">
        <v>-5.062893368E9</v>
      </c>
      <c r="O52" s="34">
        <v>0.0</v>
      </c>
      <c r="P52" s="34">
        <v>0.0</v>
      </c>
    </row>
    <row r="53" ht="15.75" customHeight="1">
      <c r="B53" s="45" t="s">
        <v>309</v>
      </c>
      <c r="C53" s="34">
        <v>2.2070580221E10</v>
      </c>
      <c r="D53" s="34">
        <v>3.1808037817E10</v>
      </c>
      <c r="G53" s="45" t="s">
        <v>85</v>
      </c>
      <c r="H53" s="34">
        <v>-5.88608014E8</v>
      </c>
      <c r="I53" s="34">
        <v>-5.88608014E8</v>
      </c>
      <c r="J53" s="34">
        <v>-3.44767447E8</v>
      </c>
      <c r="K53" s="34">
        <v>-3.44767447E8</v>
      </c>
      <c r="M53" s="45" t="s">
        <v>85</v>
      </c>
      <c r="N53" s="34">
        <v>-1.6521276914E10</v>
      </c>
      <c r="O53" s="34">
        <v>-2.509066164E10</v>
      </c>
      <c r="P53" s="34">
        <v>7.5088327441E10</v>
      </c>
    </row>
    <row r="54" ht="15.75" customHeight="1">
      <c r="B54" s="45" t="s">
        <v>101</v>
      </c>
      <c r="C54" s="34">
        <v>8.2890551392E10</v>
      </c>
      <c r="D54" s="34">
        <v>9.7035990712E10</v>
      </c>
      <c r="G54" s="45" t="s">
        <v>427</v>
      </c>
      <c r="H54" s="34"/>
      <c r="I54" s="34"/>
      <c r="J54" s="34"/>
      <c r="K54" s="34"/>
      <c r="M54" s="45" t="s">
        <v>427</v>
      </c>
      <c r="N54" s="34"/>
      <c r="O54" s="34"/>
      <c r="P54" s="34"/>
    </row>
    <row r="55" ht="15.75" customHeight="1">
      <c r="B55" s="45" t="s">
        <v>103</v>
      </c>
      <c r="C55" s="34">
        <v>6.617935592018E12</v>
      </c>
      <c r="D55" s="34">
        <v>6.125264653217E12</v>
      </c>
      <c r="G55" s="45" t="s">
        <v>94</v>
      </c>
      <c r="H55" s="34">
        <v>-5.56187074E8</v>
      </c>
      <c r="I55" s="34">
        <v>-5.56187074E8</v>
      </c>
      <c r="J55" s="34">
        <v>0.0</v>
      </c>
      <c r="K55" s="34">
        <v>0.0</v>
      </c>
      <c r="M55" s="45" t="s">
        <v>94</v>
      </c>
      <c r="N55" s="34">
        <v>1.257141406E10</v>
      </c>
      <c r="O55" s="34">
        <v>0.0</v>
      </c>
      <c r="P55" s="34">
        <v>0.0</v>
      </c>
    </row>
    <row r="56" ht="15.75" customHeight="1">
      <c r="B56" s="45" t="s">
        <v>106</v>
      </c>
      <c r="C56" s="34"/>
      <c r="D56" s="34"/>
      <c r="G56" s="45" t="s">
        <v>428</v>
      </c>
      <c r="H56" s="34">
        <v>0.0</v>
      </c>
      <c r="I56" s="34"/>
      <c r="J56" s="34">
        <v>0.0</v>
      </c>
      <c r="K56" s="34">
        <v>0.0</v>
      </c>
      <c r="M56" s="45" t="s">
        <v>428</v>
      </c>
      <c r="N56" s="34">
        <v>0.0</v>
      </c>
      <c r="O56" s="34">
        <v>0.0</v>
      </c>
      <c r="P56" s="34">
        <v>-1.55834631E8</v>
      </c>
    </row>
    <row r="57" ht="15.75" customHeight="1">
      <c r="B57" s="45" t="s">
        <v>109</v>
      </c>
      <c r="C57" s="34">
        <v>5.087388915252E12</v>
      </c>
      <c r="D57" s="34">
        <v>4.616518043951E12</v>
      </c>
      <c r="G57" s="45" t="s">
        <v>429</v>
      </c>
      <c r="H57" s="34"/>
      <c r="I57" s="34"/>
      <c r="J57" s="34"/>
      <c r="K57" s="34"/>
      <c r="M57" s="45" t="s">
        <v>429</v>
      </c>
      <c r="N57" s="34"/>
      <c r="O57" s="34"/>
      <c r="P57" s="34"/>
    </row>
    <row r="58" ht="15.75" customHeight="1">
      <c r="B58" s="45" t="s">
        <v>430</v>
      </c>
      <c r="C58" s="34">
        <v>2.08983659706E11</v>
      </c>
      <c r="D58" s="34">
        <v>2.03420867752E11</v>
      </c>
      <c r="G58" s="45" t="s">
        <v>431</v>
      </c>
      <c r="H58" s="34">
        <v>2.4527949E7</v>
      </c>
      <c r="I58" s="34">
        <v>2.4527949E7</v>
      </c>
      <c r="J58" s="34">
        <v>2.5479111E7</v>
      </c>
      <c r="K58" s="34">
        <v>2.5479111E7</v>
      </c>
      <c r="M58" s="45" t="s">
        <v>431</v>
      </c>
      <c r="N58" s="34">
        <v>2.5479111E7</v>
      </c>
      <c r="O58" s="34">
        <v>5.7867673E7</v>
      </c>
      <c r="P58" s="34">
        <v>-1.19131519E8</v>
      </c>
    </row>
    <row r="59" ht="15.75" customHeight="1">
      <c r="B59" s="45" t="s">
        <v>432</v>
      </c>
      <c r="C59" s="34">
        <v>2.56448599957E11</v>
      </c>
      <c r="D59" s="34">
        <v>3.63833512538E11</v>
      </c>
      <c r="G59" s="45" t="s">
        <v>433</v>
      </c>
      <c r="H59" s="34">
        <v>-4.18115769E8</v>
      </c>
      <c r="I59" s="34">
        <v>-4.18115769E8</v>
      </c>
      <c r="J59" s="34">
        <v>-3.93931947E8</v>
      </c>
      <c r="K59" s="34">
        <v>-3.93931947E8</v>
      </c>
      <c r="M59" s="45" t="s">
        <v>433</v>
      </c>
      <c r="N59" s="34">
        <v>-2.9863042795E10</v>
      </c>
      <c r="O59" s="34">
        <v>-2.5142190723E10</v>
      </c>
      <c r="P59" s="34">
        <v>2.0135116455E10</v>
      </c>
    </row>
    <row r="60" ht="15.75" customHeight="1">
      <c r="B60" s="45" t="s">
        <v>434</v>
      </c>
      <c r="C60" s="34">
        <v>3.523921205209E12</v>
      </c>
      <c r="D60" s="34">
        <v>3.457859685691E12</v>
      </c>
      <c r="G60" s="45" t="s">
        <v>435</v>
      </c>
      <c r="H60" s="34">
        <v>3.6116688E8</v>
      </c>
      <c r="I60" s="34">
        <v>3.6116688E8</v>
      </c>
      <c r="J60" s="34">
        <v>2.3685389E7</v>
      </c>
      <c r="K60" s="34">
        <v>2.3685389E7</v>
      </c>
      <c r="M60" s="45" t="s">
        <v>435</v>
      </c>
      <c r="N60" s="34">
        <v>7.73282428E8</v>
      </c>
      <c r="O60" s="34">
        <v>0.0</v>
      </c>
      <c r="P60" s="34">
        <v>5.5225216673E10</v>
      </c>
    </row>
    <row r="61" ht="15.75" customHeight="1">
      <c r="B61" s="45" t="s">
        <v>380</v>
      </c>
      <c r="C61" s="34">
        <v>6.6954957087E10</v>
      </c>
      <c r="D61" s="34">
        <v>7.6113239891E10</v>
      </c>
      <c r="G61" s="45" t="s">
        <v>436</v>
      </c>
      <c r="H61" s="34">
        <v>0.0</v>
      </c>
      <c r="I61" s="34"/>
      <c r="J61" s="34">
        <v>0.0</v>
      </c>
      <c r="K61" s="34">
        <v>0.0</v>
      </c>
      <c r="M61" s="45" t="s">
        <v>436</v>
      </c>
      <c r="N61" s="34">
        <v>-2.8409718E7</v>
      </c>
      <c r="O61" s="34">
        <v>-6338590.0</v>
      </c>
      <c r="P61" s="34">
        <v>2960463.0</v>
      </c>
    </row>
    <row r="62" ht="15.75" customHeight="1">
      <c r="B62" s="45" t="s">
        <v>378</v>
      </c>
      <c r="C62" s="34">
        <v>9.62404625714E11</v>
      </c>
      <c r="D62" s="34">
        <v>4.15321291898E11</v>
      </c>
      <c r="G62" s="45" t="s">
        <v>190</v>
      </c>
      <c r="H62" s="34">
        <v>8.2243598466E10</v>
      </c>
      <c r="I62" s="34">
        <v>8.2243598466E10</v>
      </c>
      <c r="J62" s="34">
        <v>6.0230051198E10</v>
      </c>
      <c r="K62" s="34">
        <v>6.0230051198E10</v>
      </c>
      <c r="M62" s="45" t="s">
        <v>190</v>
      </c>
      <c r="N62" s="34">
        <v>2.0012744264E11</v>
      </c>
      <c r="O62" s="34">
        <v>1.49871481479E11</v>
      </c>
      <c r="P62" s="34">
        <v>1.98027914812E11</v>
      </c>
    </row>
    <row r="63" ht="15.75" customHeight="1">
      <c r="B63" s="45" t="s">
        <v>329</v>
      </c>
      <c r="C63" s="34">
        <v>5.0135325949E10</v>
      </c>
      <c r="D63" s="34">
        <v>7.8073572991E10</v>
      </c>
      <c r="G63" s="45" t="s">
        <v>197</v>
      </c>
      <c r="H63" s="34"/>
      <c r="I63" s="34"/>
      <c r="J63" s="35"/>
      <c r="K63" s="35"/>
      <c r="M63" s="45" t="s">
        <v>197</v>
      </c>
      <c r="N63" s="34"/>
      <c r="O63" s="34"/>
      <c r="P63" s="34"/>
    </row>
    <row r="64" ht="15.75" customHeight="1">
      <c r="B64" s="45" t="s">
        <v>122</v>
      </c>
      <c r="C64" s="34">
        <v>1.854054163E10</v>
      </c>
      <c r="D64" s="34">
        <v>2.189587319E10</v>
      </c>
      <c r="G64" s="45" t="s">
        <v>199</v>
      </c>
      <c r="H64" s="34">
        <v>8.3831508914E10</v>
      </c>
      <c r="I64" s="34">
        <v>8.3831508914E10</v>
      </c>
      <c r="J64" s="34">
        <v>6.0230051198E10</v>
      </c>
      <c r="K64" s="34">
        <v>6.0230051198E10</v>
      </c>
      <c r="M64" s="45" t="s">
        <v>199</v>
      </c>
      <c r="N64" s="34">
        <v>2.00771168664E11</v>
      </c>
      <c r="O64" s="34">
        <v>1.49871481479E11</v>
      </c>
      <c r="P64" s="34">
        <v>1.98027914812E11</v>
      </c>
    </row>
    <row r="65" ht="15.75" customHeight="1">
      <c r="B65" s="45" t="s">
        <v>125</v>
      </c>
      <c r="C65" s="34">
        <v>2.60511508615E11</v>
      </c>
      <c r="D65" s="34">
        <v>2.71311374204E11</v>
      </c>
      <c r="G65" s="45" t="s">
        <v>201</v>
      </c>
      <c r="H65" s="34">
        <v>-1.587910448E9</v>
      </c>
      <c r="I65" s="34">
        <v>-1.587910448E9</v>
      </c>
      <c r="J65" s="35">
        <v>0.0</v>
      </c>
      <c r="K65" s="35">
        <v>0.0</v>
      </c>
      <c r="M65" s="45" t="s">
        <v>201</v>
      </c>
      <c r="N65" s="34">
        <v>-6.43726024E8</v>
      </c>
      <c r="O65" s="35">
        <v>0.0</v>
      </c>
      <c r="P65" s="35">
        <v>0.0</v>
      </c>
    </row>
    <row r="66" ht="15.75" customHeight="1">
      <c r="B66" s="45" t="s">
        <v>437</v>
      </c>
      <c r="C66" s="34">
        <v>1.7837779353E11</v>
      </c>
      <c r="D66" s="34">
        <v>1.8800216781E11</v>
      </c>
      <c r="G66" s="45" t="s">
        <v>203</v>
      </c>
      <c r="H66" s="35"/>
      <c r="I66" s="35"/>
      <c r="J66" s="35"/>
      <c r="K66" s="35"/>
      <c r="M66" s="45" t="s">
        <v>203</v>
      </c>
      <c r="N66" s="34"/>
      <c r="O66" s="34"/>
      <c r="P66" s="34"/>
    </row>
    <row r="67" ht="15.75" customHeight="1">
      <c r="B67" s="45" t="s">
        <v>438</v>
      </c>
      <c r="C67" s="34">
        <v>0.0</v>
      </c>
      <c r="D67" s="34">
        <v>1.23772824E9</v>
      </c>
      <c r="G67" s="45" t="s">
        <v>117</v>
      </c>
      <c r="H67" s="34">
        <v>3864.0</v>
      </c>
      <c r="I67" s="34">
        <v>3864.0</v>
      </c>
      <c r="J67" s="34">
        <v>2779.0</v>
      </c>
      <c r="K67" s="34">
        <v>2779.0</v>
      </c>
      <c r="M67" s="45" t="s">
        <v>117</v>
      </c>
      <c r="N67" s="34">
        <v>10173.0</v>
      </c>
      <c r="O67" s="34">
        <v>8028.0</v>
      </c>
      <c r="P67" s="34">
        <v>5641.0</v>
      </c>
    </row>
    <row r="68" ht="15.75" customHeight="1">
      <c r="B68" s="45" t="s">
        <v>383</v>
      </c>
      <c r="C68" s="34">
        <v>2.880698817E10</v>
      </c>
      <c r="D68" s="34">
        <v>3.0298199325E10</v>
      </c>
      <c r="G68" s="18"/>
      <c r="M68" s="18"/>
    </row>
    <row r="69" ht="15.75" customHeight="1">
      <c r="B69" s="45" t="s">
        <v>439</v>
      </c>
      <c r="C69" s="34">
        <v>5.3326726915E10</v>
      </c>
      <c r="D69" s="34">
        <v>5.1773278829E10</v>
      </c>
      <c r="G69" s="18"/>
      <c r="M69" s="18"/>
    </row>
    <row r="70" ht="15.75" customHeight="1">
      <c r="B70" s="45" t="s">
        <v>131</v>
      </c>
      <c r="C70" s="34">
        <v>5.347900423867E12</v>
      </c>
      <c r="D70" s="34">
        <v>4.887829418155E12</v>
      </c>
      <c r="G70" s="18"/>
      <c r="M70" s="18"/>
    </row>
    <row r="71" ht="15.75" customHeight="1">
      <c r="B71" s="45" t="s">
        <v>132</v>
      </c>
      <c r="C71" s="34"/>
      <c r="D71" s="34"/>
      <c r="G71" s="18"/>
      <c r="M71" s="18"/>
    </row>
    <row r="72" ht="15.75" customHeight="1">
      <c r="B72" s="45" t="s">
        <v>216</v>
      </c>
      <c r="C72" s="34">
        <v>1.242212522305E12</v>
      </c>
      <c r="D72" s="34">
        <v>1.210681900588E12</v>
      </c>
      <c r="G72" s="48"/>
      <c r="M72" s="48"/>
    </row>
    <row r="73" ht="15.75" customHeight="1">
      <c r="B73" s="45" t="s">
        <v>339</v>
      </c>
      <c r="C73" s="34">
        <v>1.1E11</v>
      </c>
      <c r="D73" s="34">
        <v>1.1E11</v>
      </c>
    </row>
    <row r="74" ht="15.75" customHeight="1">
      <c r="B74" s="45" t="s">
        <v>340</v>
      </c>
      <c r="C74" s="34">
        <v>1.421005505E11</v>
      </c>
      <c r="D74" s="34">
        <v>1.421005505E11</v>
      </c>
    </row>
    <row r="75" ht="15.75" customHeight="1">
      <c r="B75" s="45" t="s">
        <v>386</v>
      </c>
      <c r="C75" s="34">
        <v>-5.251979178E9</v>
      </c>
      <c r="D75" s="34">
        <v>-5.260182234E9</v>
      </c>
    </row>
    <row r="76" ht="15.75" customHeight="1">
      <c r="B76" s="45" t="s">
        <v>342</v>
      </c>
      <c r="C76" s="34">
        <v>5.6307062923E10</v>
      </c>
      <c r="D76" s="34">
        <v>5.67019723E10</v>
      </c>
    </row>
    <row r="77" ht="15.75" customHeight="1">
      <c r="B77" s="45" t="s">
        <v>387</v>
      </c>
      <c r="C77" s="34">
        <v>9.3905688806E11</v>
      </c>
      <c r="D77" s="34">
        <v>9.07139560022E11</v>
      </c>
    </row>
    <row r="78" ht="15.75" customHeight="1">
      <c r="B78" s="45" t="s">
        <v>137</v>
      </c>
      <c r="C78" s="34">
        <v>2.7822645846E10</v>
      </c>
      <c r="D78" s="34">
        <v>2.6753334474E10</v>
      </c>
    </row>
    <row r="79" ht="15.75" customHeight="1">
      <c r="B79" s="45" t="s">
        <v>138</v>
      </c>
      <c r="C79" s="34">
        <v>1.270035168151E12</v>
      </c>
      <c r="D79" s="34">
        <v>1.237435235062E12</v>
      </c>
    </row>
    <row r="80" ht="15.75" customHeight="1">
      <c r="B80" s="45" t="s">
        <v>220</v>
      </c>
      <c r="C80" s="34">
        <v>6.617935592018E12</v>
      </c>
      <c r="D80" s="34">
        <v>6.125264653217E12</v>
      </c>
    </row>
    <row r="81" ht="15.75" customHeight="1"/>
    <row r="82" ht="15.75" customHeight="1"/>
    <row r="83" ht="15.75" customHeight="1">
      <c r="B83" s="92" t="s">
        <v>388</v>
      </c>
    </row>
    <row r="84" ht="15.75" customHeight="1">
      <c r="B84" s="20" t="s">
        <v>389</v>
      </c>
    </row>
    <row r="85" ht="15.75" customHeight="1">
      <c r="B85" s="20" t="s">
        <v>223</v>
      </c>
      <c r="C85" s="22" t="s">
        <v>45</v>
      </c>
    </row>
    <row r="86" ht="15.75" customHeight="1">
      <c r="B86" s="31"/>
      <c r="C86" s="31"/>
      <c r="D86" s="31"/>
      <c r="E86" s="31" t="s">
        <v>440</v>
      </c>
      <c r="F86" s="31" t="s">
        <v>391</v>
      </c>
    </row>
    <row r="87" ht="15.75" customHeight="1">
      <c r="B87" s="33" t="s">
        <v>441</v>
      </c>
      <c r="C87" s="26"/>
      <c r="D87" s="27"/>
      <c r="E87" s="39"/>
      <c r="F87" s="39"/>
    </row>
    <row r="88" ht="15.75" customHeight="1">
      <c r="A88" s="46" t="s">
        <v>6</v>
      </c>
      <c r="B88" s="38" t="s">
        <v>441</v>
      </c>
      <c r="C88" s="33" t="s">
        <v>430</v>
      </c>
      <c r="D88" s="27"/>
      <c r="E88" s="34">
        <v>2.0898366E8</v>
      </c>
      <c r="F88" s="35">
        <v>0.0</v>
      </c>
    </row>
    <row r="89" ht="15.75" customHeight="1">
      <c r="B89" s="40"/>
      <c r="C89" s="38" t="s">
        <v>430</v>
      </c>
      <c r="D89" s="39" t="s">
        <v>315</v>
      </c>
      <c r="E89" s="34">
        <v>1.69995402E8</v>
      </c>
      <c r="F89" s="35">
        <v>0.0</v>
      </c>
    </row>
    <row r="90" ht="15.75" customHeight="1">
      <c r="B90" s="40"/>
      <c r="C90" s="32"/>
      <c r="D90" s="39" t="s">
        <v>324</v>
      </c>
      <c r="E90" s="34">
        <v>3.8988258E7</v>
      </c>
      <c r="F90" s="35">
        <v>0.0</v>
      </c>
    </row>
    <row r="91" ht="15.75" customHeight="1">
      <c r="B91" s="40"/>
      <c r="C91" s="33" t="s">
        <v>442</v>
      </c>
      <c r="D91" s="27"/>
      <c r="E91" s="34">
        <v>2.564486E8</v>
      </c>
      <c r="F91" s="35">
        <v>0.0</v>
      </c>
    </row>
    <row r="92" ht="15.75" customHeight="1">
      <c r="B92" s="40"/>
      <c r="C92" s="33" t="s">
        <v>378</v>
      </c>
      <c r="D92" s="27"/>
      <c r="E92" s="34">
        <v>9.2034315E8</v>
      </c>
      <c r="F92" s="34">
        <v>3835158.0</v>
      </c>
    </row>
    <row r="93" ht="15.75" customHeight="1">
      <c r="B93" s="40"/>
      <c r="C93" s="38" t="s">
        <v>378</v>
      </c>
      <c r="D93" s="39" t="s">
        <v>227</v>
      </c>
      <c r="E93" s="34">
        <v>1.44312603E8</v>
      </c>
      <c r="F93" s="35">
        <v>0.0</v>
      </c>
    </row>
    <row r="94" ht="15.75" customHeight="1">
      <c r="B94" s="40"/>
      <c r="C94" s="40"/>
      <c r="D94" s="39" t="s">
        <v>394</v>
      </c>
      <c r="E94" s="34">
        <v>7.57609544E8</v>
      </c>
      <c r="F94" s="35">
        <v>0.0</v>
      </c>
    </row>
    <row r="95" ht="15.75" customHeight="1">
      <c r="A95" s="46" t="s">
        <v>6</v>
      </c>
      <c r="B95" s="40"/>
      <c r="C95" s="40"/>
      <c r="D95" s="39" t="s">
        <v>228</v>
      </c>
      <c r="E95" s="34">
        <v>1.8421003E7</v>
      </c>
      <c r="F95" s="35">
        <v>0.0</v>
      </c>
    </row>
    <row r="96" ht="15.75" customHeight="1">
      <c r="B96" s="40"/>
      <c r="C96" s="32"/>
      <c r="D96" s="39" t="s">
        <v>405</v>
      </c>
      <c r="E96" s="35">
        <v>0.0</v>
      </c>
      <c r="F96" s="34">
        <v>3835158.0</v>
      </c>
    </row>
    <row r="97" ht="15.75" customHeight="1">
      <c r="B97" s="32"/>
      <c r="C97" s="33" t="s">
        <v>443</v>
      </c>
      <c r="D97" s="27"/>
      <c r="E97" s="34">
        <v>1.38577541E9</v>
      </c>
      <c r="F97" s="34">
        <v>3835158.0</v>
      </c>
    </row>
    <row r="98" ht="15.75" customHeight="1">
      <c r="B98" s="33" t="s">
        <v>444</v>
      </c>
      <c r="C98" s="26"/>
      <c r="D98" s="27"/>
      <c r="E98" s="39"/>
      <c r="F98" s="39"/>
    </row>
    <row r="99" ht="15.75" customHeight="1">
      <c r="A99" s="46" t="s">
        <v>6</v>
      </c>
      <c r="B99" s="38" t="s">
        <v>444</v>
      </c>
      <c r="C99" s="33" t="s">
        <v>445</v>
      </c>
      <c r="D99" s="27"/>
      <c r="E99" s="34">
        <v>4.181552E7</v>
      </c>
      <c r="F99" s="34">
        <v>1.36562274E8</v>
      </c>
    </row>
    <row r="100" ht="15.75" customHeight="1">
      <c r="B100" s="40"/>
      <c r="C100" s="38" t="s">
        <v>445</v>
      </c>
      <c r="D100" s="39" t="s">
        <v>331</v>
      </c>
      <c r="E100" s="34">
        <v>4.181552E7</v>
      </c>
      <c r="F100" s="35">
        <v>0.0</v>
      </c>
    </row>
    <row r="101" ht="15.75" customHeight="1">
      <c r="B101" s="40"/>
      <c r="C101" s="32"/>
      <c r="D101" s="39" t="s">
        <v>446</v>
      </c>
      <c r="E101" s="35">
        <v>0.0</v>
      </c>
      <c r="F101" s="34">
        <v>1.36562274E8</v>
      </c>
    </row>
    <row r="102" ht="15.75" customHeight="1">
      <c r="B102" s="40"/>
      <c r="C102" s="33" t="s">
        <v>383</v>
      </c>
      <c r="D102" s="27"/>
      <c r="E102" s="34">
        <v>2.6132996E7</v>
      </c>
      <c r="F102" s="34">
        <v>2673993.0</v>
      </c>
    </row>
    <row r="103" ht="15.75" customHeight="1">
      <c r="A103" s="46" t="s">
        <v>6</v>
      </c>
      <c r="B103" s="40"/>
      <c r="C103" s="38" t="s">
        <v>383</v>
      </c>
      <c r="D103" s="39" t="s">
        <v>236</v>
      </c>
      <c r="E103" s="34">
        <v>2.6132996E7</v>
      </c>
      <c r="F103" s="35">
        <v>0.0</v>
      </c>
    </row>
    <row r="104" ht="15.75" customHeight="1">
      <c r="B104" s="40"/>
      <c r="C104" s="32"/>
      <c r="D104" s="39" t="s">
        <v>408</v>
      </c>
      <c r="E104" s="35">
        <v>0.0</v>
      </c>
      <c r="F104" s="34">
        <v>2673993.0</v>
      </c>
    </row>
    <row r="105" ht="15.75" customHeight="1">
      <c r="B105" s="32"/>
      <c r="C105" s="33" t="s">
        <v>447</v>
      </c>
      <c r="D105" s="27"/>
      <c r="E105" s="34">
        <v>6.7948516E7</v>
      </c>
      <c r="F105" s="34">
        <v>1.39236267E8</v>
      </c>
    </row>
    <row r="106" ht="15.75" customHeight="1">
      <c r="B106" s="33" t="s">
        <v>448</v>
      </c>
      <c r="C106" s="26"/>
      <c r="D106" s="27"/>
      <c r="E106" s="34">
        <v>1.453723926E9</v>
      </c>
      <c r="F106" s="34">
        <v>1.43071425E8</v>
      </c>
    </row>
    <row r="107" ht="15.75" customHeight="1">
      <c r="B107" s="20"/>
    </row>
    <row r="108" ht="15.75" customHeight="1">
      <c r="B108" s="20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3:C23"/>
    <mergeCell ref="B24:C24"/>
    <mergeCell ref="B25:C25"/>
    <mergeCell ref="B26:C26"/>
    <mergeCell ref="G35:G36"/>
    <mergeCell ref="H35:I35"/>
    <mergeCell ref="J35:K35"/>
    <mergeCell ref="B14:C15"/>
    <mergeCell ref="D14:F14"/>
    <mergeCell ref="G14:G15"/>
    <mergeCell ref="B16:C16"/>
    <mergeCell ref="B17:C17"/>
    <mergeCell ref="B18:C18"/>
    <mergeCell ref="B19:B22"/>
    <mergeCell ref="C93:C96"/>
    <mergeCell ref="C97:D97"/>
    <mergeCell ref="B88:B97"/>
    <mergeCell ref="B99:B105"/>
    <mergeCell ref="C99:D99"/>
    <mergeCell ref="C100:C101"/>
    <mergeCell ref="C102:D102"/>
    <mergeCell ref="C103:C104"/>
    <mergeCell ref="C105:D105"/>
    <mergeCell ref="B106:D106"/>
    <mergeCell ref="B84:C84"/>
    <mergeCell ref="B87:D87"/>
    <mergeCell ref="C88:D88"/>
    <mergeCell ref="C89:C90"/>
    <mergeCell ref="C91:D91"/>
    <mergeCell ref="C92:D92"/>
    <mergeCell ref="B98:D9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